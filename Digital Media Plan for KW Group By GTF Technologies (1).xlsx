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asharma/Desktop/"/>
    </mc:Choice>
  </mc:AlternateContent>
  <xr:revisionPtr revIDLastSave="0" documentId="13_ncr:1_{8E690B26-5545-184D-BC9F-706ACBB1F7C4}" xr6:coauthVersionLast="36" xr6:coauthVersionMax="36" xr10:uidLastSave="{00000000-0000-0000-0000-000000000000}"/>
  <bookViews>
    <workbookView xWindow="0" yWindow="500" windowWidth="28800" windowHeight="16260" tabRatio="990" xr2:uid="{00000000-000D-0000-FFFF-FFFF00000000}"/>
  </bookViews>
  <sheets>
    <sheet name="Summary" sheetId="4" r:id="rId1"/>
    <sheet name="Paid Ads Campaigns Blue Pearl" sheetId="5" r:id="rId2"/>
    <sheet name="Paid Ads Campaigns Delhi 6" sheetId="8" r:id="rId3"/>
    <sheet name="Paid Ads Campaigns for Leasing" sheetId="9" r:id="rId4"/>
    <sheet name="Social Media Marketing" sheetId="11" r:id="rId5"/>
    <sheet name="Creatives" sheetId="10" r:id="rId6"/>
    <sheet name="Site List For Paid Ads" sheetId="6" r:id="rId7"/>
    <sheet name="MobileApps &amp; Sites For Paid Ad " sheetId="7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9" l="1"/>
  <c r="K12" i="9"/>
  <c r="K10" i="9"/>
  <c r="K9" i="9"/>
  <c r="K20" i="9" l="1"/>
  <c r="G20" i="9" s="1"/>
  <c r="B28" i="9" s="1"/>
  <c r="K19" i="9"/>
  <c r="G19" i="9" s="1"/>
  <c r="B29" i="9" s="1"/>
  <c r="H15" i="9"/>
  <c r="H13" i="9"/>
  <c r="H12" i="9"/>
  <c r="H10" i="9"/>
  <c r="H9" i="9"/>
  <c r="B42" i="8"/>
  <c r="K32" i="8"/>
  <c r="G32" i="8"/>
  <c r="B40" i="8" s="1"/>
  <c r="K31" i="8"/>
  <c r="G31" i="8" s="1"/>
  <c r="B41" i="8" s="1"/>
  <c r="H29" i="8"/>
  <c r="J29" i="8" s="1"/>
  <c r="K29" i="8" s="1"/>
  <c r="H28" i="8"/>
  <c r="J28" i="8" s="1"/>
  <c r="K28" i="8" s="1"/>
  <c r="K27" i="8"/>
  <c r="H27" i="8"/>
  <c r="J27" i="8" s="1"/>
  <c r="K24" i="8"/>
  <c r="J24" i="8"/>
  <c r="H24" i="8"/>
  <c r="H22" i="8"/>
  <c r="J22" i="8" s="1"/>
  <c r="H21" i="8"/>
  <c r="K21" i="8" s="1"/>
  <c r="K19" i="8"/>
  <c r="H17" i="8"/>
  <c r="K17" i="8" s="1"/>
  <c r="J16" i="8"/>
  <c r="H16" i="8"/>
  <c r="H14" i="8"/>
  <c r="J14" i="8" s="1"/>
  <c r="G12" i="8"/>
  <c r="H11" i="8"/>
  <c r="K11" i="8" s="1"/>
  <c r="K10" i="8"/>
  <c r="H10" i="8"/>
  <c r="J10" i="8" s="1"/>
  <c r="H9" i="8"/>
  <c r="K9" i="8" s="1"/>
  <c r="G21" i="9" l="1"/>
  <c r="B25" i="9" s="1"/>
  <c r="J9" i="8"/>
  <c r="B44" i="8"/>
  <c r="G33" i="8"/>
  <c r="B37" i="8" s="1"/>
  <c r="H12" i="8"/>
  <c r="B39" i="8" s="1"/>
  <c r="K16" i="8"/>
  <c r="K14" i="8"/>
  <c r="J21" i="8"/>
  <c r="K22" i="8"/>
  <c r="J11" i="8"/>
  <c r="G12" i="5"/>
  <c r="K21" i="9" l="1"/>
  <c r="H21" i="9"/>
  <c r="B26" i="9" s="1"/>
  <c r="K12" i="8"/>
  <c r="K33" i="8" s="1"/>
  <c r="J12" i="8"/>
  <c r="B43" i="8" s="1"/>
  <c r="B45" i="8" s="1"/>
  <c r="H33" i="8"/>
  <c r="B38" i="8" s="1"/>
  <c r="C13" i="4"/>
  <c r="J21" i="9" l="1"/>
  <c r="J33" i="8"/>
  <c r="H24" i="5"/>
  <c r="J24" i="5" l="1"/>
  <c r="K24" i="5"/>
  <c r="B42" i="5"/>
  <c r="K32" i="5"/>
  <c r="G32" i="5" s="1"/>
  <c r="B40" i="5" s="1"/>
  <c r="K31" i="5"/>
  <c r="G31" i="5" s="1"/>
  <c r="B41" i="5" s="1"/>
  <c r="H29" i="5"/>
  <c r="J29" i="5" s="1"/>
  <c r="K29" i="5" s="1"/>
  <c r="H28" i="5"/>
  <c r="J28" i="5" s="1"/>
  <c r="H27" i="5"/>
  <c r="K27" i="5" s="1"/>
  <c r="H22" i="5"/>
  <c r="K22" i="5" s="1"/>
  <c r="H21" i="5"/>
  <c r="J21" i="5" s="1"/>
  <c r="K19" i="5"/>
  <c r="H17" i="5"/>
  <c r="K17" i="5" s="1"/>
  <c r="H16" i="5"/>
  <c r="J16" i="5" s="1"/>
  <c r="H14" i="5"/>
  <c r="K14" i="5" s="1"/>
  <c r="H12" i="5"/>
  <c r="H11" i="5"/>
  <c r="J11" i="5" s="1"/>
  <c r="H10" i="5"/>
  <c r="J10" i="5" s="1"/>
  <c r="H9" i="5"/>
  <c r="K16" i="5" l="1"/>
  <c r="K10" i="5"/>
  <c r="K21" i="5"/>
  <c r="B39" i="5"/>
  <c r="K11" i="5"/>
  <c r="J12" i="5"/>
  <c r="K12" i="5"/>
  <c r="J9" i="5"/>
  <c r="J27" i="5"/>
  <c r="K28" i="5"/>
  <c r="G33" i="5"/>
  <c r="B37" i="5" s="1"/>
  <c r="K9" i="5"/>
  <c r="J14" i="5"/>
  <c r="J22" i="5"/>
  <c r="B44" i="5" s="1"/>
  <c r="H33" i="5"/>
  <c r="B38" i="5" s="1"/>
  <c r="B43" i="5" l="1"/>
  <c r="B45" i="5" s="1"/>
  <c r="K33" i="5"/>
  <c r="J33" i="5"/>
</calcChain>
</file>

<file path=xl/sharedStrings.xml><?xml version="1.0" encoding="utf-8"?>
<sst xmlns="http://schemas.openxmlformats.org/spreadsheetml/2006/main" count="1145" uniqueCount="690">
  <si>
    <t>Yes</t>
  </si>
  <si>
    <t>Services</t>
  </si>
  <si>
    <t>Amount</t>
  </si>
  <si>
    <t>Client Name</t>
  </si>
  <si>
    <t>Objective</t>
  </si>
  <si>
    <t>Geo Targeting</t>
  </si>
  <si>
    <t>Duration</t>
  </si>
  <si>
    <t>Total</t>
  </si>
  <si>
    <t>One  Month</t>
  </si>
  <si>
    <t>Medium</t>
  </si>
  <si>
    <t>Interest/ Category Targeting</t>
  </si>
  <si>
    <t>Ad Types</t>
  </si>
  <si>
    <t>Ad size</t>
  </si>
  <si>
    <t>Network</t>
  </si>
  <si>
    <t>Google</t>
  </si>
  <si>
    <t>Google Search</t>
  </si>
  <si>
    <t>Keyword Targeting</t>
  </si>
  <si>
    <t>Standard Text Ad</t>
  </si>
  <si>
    <t>Text ads</t>
  </si>
  <si>
    <t>Google - Display</t>
  </si>
  <si>
    <t>Inmarket/Affinity targeting</t>
  </si>
  <si>
    <t>Standard Banner</t>
  </si>
  <si>
    <t>Banners ads</t>
  </si>
  <si>
    <t>Google Placements</t>
  </si>
  <si>
    <t xml:space="preserve">News &amp; Financial  Site </t>
  </si>
  <si>
    <t>Banner Ads + HTML</t>
  </si>
  <si>
    <t>144*144,650*650</t>
  </si>
  <si>
    <t>Remarketing</t>
  </si>
  <si>
    <t>Audience pool targeting</t>
  </si>
  <si>
    <t>Banner Ads</t>
  </si>
  <si>
    <t>160*600,300*250,728*90</t>
  </si>
  <si>
    <t>Yahoo/Bing</t>
  </si>
  <si>
    <t>Search</t>
  </si>
  <si>
    <t>Reach Site</t>
  </si>
  <si>
    <t>Linked-In</t>
  </si>
  <si>
    <t xml:space="preserve"> Geo: Pan India; Seniority: Director, VP, CXO, CIO, CFO, C- suite audience, Owners, Partners
</t>
  </si>
  <si>
    <t xml:space="preserve">Display banner(Dynamic - SpotLight ads) </t>
  </si>
  <si>
    <t>Custom</t>
  </si>
  <si>
    <t>Sponsered Updates</t>
  </si>
  <si>
    <t>NA</t>
  </si>
  <si>
    <t>Emailers</t>
  </si>
  <si>
    <t>3rd Party Mailer ( HNI Data )</t>
  </si>
  <si>
    <t>Mailer</t>
  </si>
  <si>
    <t>Audience Pool Database</t>
  </si>
  <si>
    <t>Native/Content</t>
  </si>
  <si>
    <t>Taboola ( Branding )</t>
  </si>
  <si>
    <t>Network - TOI, NDTV, HT, Livemint, International Business times, Dainik Bhaskar, Deccan Cronicle, etc.)</t>
  </si>
  <si>
    <t>In- Stream Ads</t>
  </si>
  <si>
    <t>Image + Text</t>
  </si>
  <si>
    <t>Text &amp; Banner Ads</t>
  </si>
  <si>
    <t>Social</t>
  </si>
  <si>
    <t>Facebook / Instagram Ads</t>
  </si>
  <si>
    <t>Interest &amp; behaviour trageting:- Real Estate, Luxury Apartments, Property, News, CEOs/CXOs/Entrepreneur/GM</t>
  </si>
  <si>
    <t>External Link ads</t>
  </si>
  <si>
    <t>Leads Generation</t>
  </si>
  <si>
    <t>FB/Insta Post Boost</t>
  </si>
  <si>
    <t>Branding</t>
  </si>
  <si>
    <t>FB/Insta Page Likes</t>
  </si>
  <si>
    <t>Note : Taxes as applicable</t>
  </si>
  <si>
    <t xml:space="preserve">Services </t>
  </si>
  <si>
    <t xml:space="preserve">No. Of Units </t>
  </si>
  <si>
    <t>Landing Pages</t>
  </si>
  <si>
    <t xml:space="preserve">Different Landing Page </t>
  </si>
  <si>
    <t xml:space="preserve">Google Display  </t>
  </si>
  <si>
    <t>Banners Resizeing For Landing Pages</t>
  </si>
  <si>
    <t>Facebook</t>
  </si>
  <si>
    <t>linkedin</t>
  </si>
  <si>
    <t>instagram</t>
  </si>
  <si>
    <t>Paid Add Management</t>
  </si>
  <si>
    <t>Google Ads, Yahoo, bing, Facebook &amp; Instagram</t>
  </si>
  <si>
    <t>Note</t>
  </si>
  <si>
    <t>Website / Landing Page</t>
  </si>
  <si>
    <t xml:space="preserve">Domain, Hosting &amp; Design According to Package </t>
  </si>
  <si>
    <t xml:space="preserve">Google </t>
  </si>
  <si>
    <t>Google Search, Remarketing &amp; Display Ads</t>
  </si>
  <si>
    <t>Faccebook &amp; Insta</t>
  </si>
  <si>
    <t>Lead Ads &amp; Traffic Ads</t>
  </si>
  <si>
    <t>LinkedIN</t>
  </si>
  <si>
    <t>Yahoo</t>
  </si>
  <si>
    <t>Search Ads</t>
  </si>
  <si>
    <t>Bing</t>
  </si>
  <si>
    <t>Taboola</t>
  </si>
  <si>
    <t>Content Ad For Traffic</t>
  </si>
  <si>
    <t>Payment</t>
  </si>
  <si>
    <t xml:space="preserve">Third Party Payments Will Be Extra as According to package </t>
  </si>
  <si>
    <t>News</t>
  </si>
  <si>
    <t>Business &amp; Industrial</t>
  </si>
  <si>
    <t>Finance</t>
  </si>
  <si>
    <t>Home &amp; Real Estate</t>
  </si>
  <si>
    <t>Travel</t>
  </si>
  <si>
    <t>abplive.in</t>
  </si>
  <si>
    <t>eindiabusiness.com</t>
  </si>
  <si>
    <t>moneycontrol.com</t>
  </si>
  <si>
    <t>commonfloor.com</t>
  </si>
  <si>
    <t>Irctc.co.in</t>
  </si>
  <si>
    <t>ndtv.com</t>
  </si>
  <si>
    <t>indiamart.com</t>
  </si>
  <si>
    <t>valueresearchonline.com</t>
  </si>
  <si>
    <t>property.sulekha.com</t>
  </si>
  <si>
    <t>mustseeindia.com</t>
  </si>
  <si>
    <t>msn.com</t>
  </si>
  <si>
    <t>sulekhab2b.com</t>
  </si>
  <si>
    <t>xe.com</t>
  </si>
  <si>
    <t>indianrealestateforum.com</t>
  </si>
  <si>
    <t>skyscanner.co.in</t>
  </si>
  <si>
    <t>telegraphindia.com</t>
  </si>
  <si>
    <t>tradeindia.com</t>
  </si>
  <si>
    <t>bseindia.com</t>
  </si>
  <si>
    <t>foreclosureindia.com</t>
  </si>
  <si>
    <t>holidayiq.com</t>
  </si>
  <si>
    <t>thehindu.com</t>
  </si>
  <si>
    <t>trademart.in</t>
  </si>
  <si>
    <t>caclubindia.com</t>
  </si>
  <si>
    <t>realtor.com</t>
  </si>
  <si>
    <t>erail.in</t>
  </si>
  <si>
    <t>timesofindia.com</t>
  </si>
  <si>
    <t>indianindustry.com</t>
  </si>
  <si>
    <t>taxguru.in</t>
  </si>
  <si>
    <t>propertywala.com</t>
  </si>
  <si>
    <t>runningstatus.in</t>
  </si>
  <si>
    <t>intoday.in</t>
  </si>
  <si>
    <t>franchiseindia.com</t>
  </si>
  <si>
    <t>ratekhoj.com</t>
  </si>
  <si>
    <t>indiarealestateforums.com</t>
  </si>
  <si>
    <t>indiamike.com</t>
  </si>
  <si>
    <t>itimes.com</t>
  </si>
  <si>
    <t>trade-briefs.com</t>
  </si>
  <si>
    <t>investing.com</t>
  </si>
  <si>
    <t>indianrealestateboard.com</t>
  </si>
  <si>
    <t>zoomtra.com</t>
  </si>
  <si>
    <t>cnet.com</t>
  </si>
  <si>
    <t>made-from-india.com</t>
  </si>
  <si>
    <t>mudraa.com</t>
  </si>
  <si>
    <t>makaan.com</t>
  </si>
  <si>
    <t>kayak.co.in</t>
  </si>
  <si>
    <t>hindustan.com</t>
  </si>
  <si>
    <t>exportersindia.com</t>
  </si>
  <si>
    <t>pivottrading.co.in</t>
  </si>
  <si>
    <t>harshasagar.com</t>
  </si>
  <si>
    <t>indianrail.gov.in</t>
  </si>
  <si>
    <t>indiatvnews.com</t>
  </si>
  <si>
    <t>smechambersofindia.com</t>
  </si>
  <si>
    <t>jagoinvestor.com</t>
  </si>
  <si>
    <t>zillow.com</t>
  </si>
  <si>
    <t>hellotravel.com</t>
  </si>
  <si>
    <t>indiatoday.in</t>
  </si>
  <si>
    <t>ecplaza.net</t>
  </si>
  <si>
    <t>rupeetimes.com</t>
  </si>
  <si>
    <t>homeaway.com</t>
  </si>
  <si>
    <t>skyscanner.net</t>
  </si>
  <si>
    <t>aajtak.in</t>
  </si>
  <si>
    <t>ebharatbase.com</t>
  </si>
  <si>
    <t>traderji.com</t>
  </si>
  <si>
    <t>trulia.com</t>
  </si>
  <si>
    <t>irctcpnr.in</t>
  </si>
  <si>
    <t>ibnlive.in</t>
  </si>
  <si>
    <t>rajb2b.com</t>
  </si>
  <si>
    <t>nseguide.com</t>
  </si>
  <si>
    <t>gharabari.com</t>
  </si>
  <si>
    <t>oktatabyebye.com</t>
  </si>
  <si>
    <t>expressbuzz.com</t>
  </si>
  <si>
    <t>tradeget.com</t>
  </si>
  <si>
    <t>commodityonline.com</t>
  </si>
  <si>
    <t>justprop.com</t>
  </si>
  <si>
    <t>fodors.com</t>
  </si>
  <si>
    <t>indianexpress.com</t>
  </si>
  <si>
    <t xml:space="preserve">biztech2.com </t>
  </si>
  <si>
    <t>deal4loans.com</t>
  </si>
  <si>
    <t>vrbo.com</t>
  </si>
  <si>
    <t>kayak.com</t>
  </si>
  <si>
    <t>expressindia.com</t>
  </si>
  <si>
    <t>business-standard.com</t>
  </si>
  <si>
    <t>tradingcharts.com</t>
  </si>
  <si>
    <t>nitinbhatia.in</t>
  </si>
  <si>
    <t>placesonline.com</t>
  </si>
  <si>
    <t>deccanherald.com</t>
  </si>
  <si>
    <t>economicstimes.com</t>
  </si>
  <si>
    <t>commoditiescontrol.com</t>
  </si>
  <si>
    <t>kochi.co.in</t>
  </si>
  <si>
    <t>indiarailinfo.com</t>
  </si>
  <si>
    <t>deccanchronicle.com</t>
  </si>
  <si>
    <t>5paisa.com</t>
  </si>
  <si>
    <t>investmentkit.com</t>
  </si>
  <si>
    <t>myfaridabad.in</t>
  </si>
  <si>
    <t>journeymart.com</t>
  </si>
  <si>
    <t>jagran.com</t>
  </si>
  <si>
    <t>entrepreneur.in</t>
  </si>
  <si>
    <t>indiansharebroker.com</t>
  </si>
  <si>
    <t>doityourself.com</t>
  </si>
  <si>
    <t>pnrstatus.co.in</t>
  </si>
  <si>
    <t>bharatwaves.in</t>
  </si>
  <si>
    <t>yourmoneysite.com</t>
  </si>
  <si>
    <t>apnapaisa.com</t>
  </si>
  <si>
    <t>readyreckoner.in</t>
  </si>
  <si>
    <t>virtualtourist.com</t>
  </si>
  <si>
    <t>DailyPioneer.com</t>
  </si>
  <si>
    <t>Valueresearchonline.com</t>
  </si>
  <si>
    <t>commoditytrademantra.com</t>
  </si>
  <si>
    <t>thrissur.co.in</t>
  </si>
  <si>
    <t>onetravel.com</t>
  </si>
  <si>
    <t>crimenews.co.in</t>
  </si>
  <si>
    <t>investmentyogi.com</t>
  </si>
  <si>
    <t>homegreekhome.com</t>
  </si>
  <si>
    <t>mydestination.com</t>
  </si>
  <si>
    <t>loksatta.com</t>
  </si>
  <si>
    <t>policybazaar.com</t>
  </si>
  <si>
    <t>applypanonline.com</t>
  </si>
  <si>
    <t>prabhanjamindiareal.com</t>
  </si>
  <si>
    <t>darjeeling-tourism.com</t>
  </si>
  <si>
    <t>newsbullet.in</t>
  </si>
  <si>
    <t>Domain-B.com</t>
  </si>
  <si>
    <t>todaytrading.co.in</t>
  </si>
  <si>
    <t>realtyfact.com</t>
  </si>
  <si>
    <t>flightstats.com</t>
  </si>
  <si>
    <t>livehindustan.com</t>
  </si>
  <si>
    <t>indiainfoline.com</t>
  </si>
  <si>
    <t>taxalertindia.com</t>
  </si>
  <si>
    <t>indiaproperty</t>
  </si>
  <si>
    <t>apsrtc.co.in</t>
  </si>
  <si>
    <t>newsbeats.in</t>
  </si>
  <si>
    <t>investorplace.com</t>
  </si>
  <si>
    <t>99acres.com</t>
  </si>
  <si>
    <t>travelblog.org</t>
  </si>
  <si>
    <t>outlookindia.com</t>
  </si>
  <si>
    <t>Financialexpress.com</t>
  </si>
  <si>
    <t>billdesk.com</t>
  </si>
  <si>
    <t>magicbricks.com</t>
  </si>
  <si>
    <t>darjeelingtimes.com</t>
  </si>
  <si>
    <t>internationalreporter.com</t>
  </si>
  <si>
    <t>thehindubusinessline.com</t>
  </si>
  <si>
    <t>taxpointindia.com</t>
  </si>
  <si>
    <t>indiahousing.com</t>
  </si>
  <si>
    <t>tamilseenn.net</t>
  </si>
  <si>
    <t>newstrackindia.com</t>
  </si>
  <si>
    <t>dsij.in</t>
  </si>
  <si>
    <t>bse2nse.com</t>
  </si>
  <si>
    <t>realestateindia.com</t>
  </si>
  <si>
    <t>recruitmentresult.com</t>
  </si>
  <si>
    <t>liveindia.tv</t>
  </si>
  <si>
    <t>businessworld.in</t>
  </si>
  <si>
    <t>exchange-rates.org</t>
  </si>
  <si>
    <t>sulekha.com(property section)</t>
  </si>
  <si>
    <t>firsttoknow.com</t>
  </si>
  <si>
    <t>dinakaran.com</t>
  </si>
  <si>
    <t>mydigitalfc.com</t>
  </si>
  <si>
    <t>licpolicyenquiry.com</t>
  </si>
  <si>
    <t>anytimeproperty.com</t>
  </si>
  <si>
    <t>ssc-cgl2014.in</t>
  </si>
  <si>
    <t>divyabhaskar.com</t>
  </si>
  <si>
    <t>investment-and-finance.net</t>
  </si>
  <si>
    <t>propmart.com</t>
  </si>
  <si>
    <t>earnfreerecharge.com</t>
  </si>
  <si>
    <t>breakingnewsonline.net</t>
  </si>
  <si>
    <t>incometaxmanagement.com</t>
  </si>
  <si>
    <t>mypropertyindia.com</t>
  </si>
  <si>
    <t>flightaware.com</t>
  </si>
  <si>
    <t>aajtak.intoday.in</t>
  </si>
  <si>
    <t>myiris.com</t>
  </si>
  <si>
    <t>bankifsccode.com</t>
  </si>
  <si>
    <t>bangalorebest.com</t>
  </si>
  <si>
    <t>raildb.com</t>
  </si>
  <si>
    <t>zeenews.india.com</t>
  </si>
  <si>
    <t>banking.contify.com</t>
  </si>
  <si>
    <t>rttnews.com</t>
  </si>
  <si>
    <t>hyderabadplanet.com</t>
  </si>
  <si>
    <t>cruisecompete.com</t>
  </si>
  <si>
    <t>bhaskar.com</t>
  </si>
  <si>
    <t>investment.contify.com</t>
  </si>
  <si>
    <t>finance.google.com</t>
  </si>
  <si>
    <t>realestateforum.com</t>
  </si>
  <si>
    <t>ogoa.ru</t>
  </si>
  <si>
    <t>ibtimes.com</t>
  </si>
  <si>
    <t>tvveoparjournal.com</t>
  </si>
  <si>
    <t>mypetrolprice.com</t>
  </si>
  <si>
    <t>loot.com</t>
  </si>
  <si>
    <t>ksrtcblog.com</t>
  </si>
  <si>
    <t>sandesh.com</t>
  </si>
  <si>
    <t>investmentguruindia.com</t>
  </si>
  <si>
    <t>icharts.in</t>
  </si>
  <si>
    <t>realestatehungama.com</t>
  </si>
  <si>
    <t>udaipurtimes.com</t>
  </si>
  <si>
    <t>indiatimes.com</t>
  </si>
  <si>
    <t>Trak.in</t>
  </si>
  <si>
    <t>investopedia.com</t>
  </si>
  <si>
    <t>houseplans.com</t>
  </si>
  <si>
    <t>delhimetrorail.info</t>
  </si>
  <si>
    <t>sakshi.com</t>
  </si>
  <si>
    <t>todaysgoldrate.co.in</t>
  </si>
  <si>
    <t>allbankingsolutions.com</t>
  </si>
  <si>
    <t>indianrealtynews.com</t>
  </si>
  <si>
    <t>worldinsidepictures.com</t>
  </si>
  <si>
    <t>oneindia.com</t>
  </si>
  <si>
    <t>equitymaster.com</t>
  </si>
  <si>
    <t>myinvestmentideas.com</t>
  </si>
  <si>
    <t>zamanzar.com</t>
  </si>
  <si>
    <t>mapsofworld.com</t>
  </si>
  <si>
    <t>news18.com</t>
  </si>
  <si>
    <t>eximguru.com</t>
  </si>
  <si>
    <t>banklocations.in</t>
  </si>
  <si>
    <t>promarket.in</t>
  </si>
  <si>
    <t>starofmysore.com</t>
  </si>
  <si>
    <t>amarujala.com</t>
  </si>
  <si>
    <t>pluggd.in</t>
  </si>
  <si>
    <t>bestguru.com</t>
  </si>
  <si>
    <t>keralaindex.com</t>
  </si>
  <si>
    <t>edreams.in</t>
  </si>
  <si>
    <t>eenadu.net</t>
  </si>
  <si>
    <t>antya.com</t>
  </si>
  <si>
    <t>topcafirms.com</t>
  </si>
  <si>
    <t>vivastreet.co.in</t>
  </si>
  <si>
    <t>thrissurkerala.com</t>
  </si>
  <si>
    <t>mathrubhumi.com</t>
  </si>
  <si>
    <t>tradeford.com</t>
  </si>
  <si>
    <t>fullhyderabad.com</t>
  </si>
  <si>
    <t>edreams.com</t>
  </si>
  <si>
    <t>economictimes.com</t>
  </si>
  <si>
    <t>indianhomedesign.com</t>
  </si>
  <si>
    <t>tvforumonline.com</t>
  </si>
  <si>
    <t>mid-day.com</t>
  </si>
  <si>
    <t>locanto.in</t>
  </si>
  <si>
    <t>mumbailocal.net</t>
  </si>
  <si>
    <t>Mobile APP</t>
  </si>
  <si>
    <t>Mobile Web</t>
  </si>
  <si>
    <t>Business</t>
  </si>
  <si>
    <t>NewsHunt - Android</t>
  </si>
  <si>
    <t>Moneycontrol's Markets on Mobile - iOS</t>
  </si>
  <si>
    <t>CamScanner -Phone PDF Creator - Android</t>
  </si>
  <si>
    <t>ABP News - Android</t>
  </si>
  <si>
    <t>Stock Watch: BSE / NSE - Android</t>
  </si>
  <si>
    <t>NSE WATCH LIVE - Android</t>
  </si>
  <si>
    <t>NDTV - Android</t>
  </si>
  <si>
    <t>Indian Daily Gold Prices - Android</t>
  </si>
  <si>
    <t>patrika.com</t>
  </si>
  <si>
    <t>Current Affairs 2013 - Josh - Android</t>
  </si>
  <si>
    <t>Stocks - Realtime Stock Quotes - Android</t>
  </si>
  <si>
    <t>Real-time Stock Tracker  - Android</t>
  </si>
  <si>
    <t>entrepreneur.com</t>
  </si>
  <si>
    <t>Current Affairs in Hindi -Josh - Android</t>
  </si>
  <si>
    <t>Stocks, Forex, Futures &amp; News - Android</t>
  </si>
  <si>
    <t>Quick PDF Scanner FREE - Android</t>
  </si>
  <si>
    <t>india.com</t>
  </si>
  <si>
    <t>wap.business-standard.com</t>
  </si>
  <si>
    <t>chron.com</t>
  </si>
  <si>
    <t>Team Stream by Bleacher Report - Android</t>
  </si>
  <si>
    <t>XE Currency - Android</t>
  </si>
  <si>
    <t>Kolkata Suburban Trains - Android</t>
  </si>
  <si>
    <t>financialexpress.com</t>
  </si>
  <si>
    <t>citehr.com</t>
  </si>
  <si>
    <t>All Newspapers India - Android</t>
  </si>
  <si>
    <t>Expense Manager - Android</t>
  </si>
  <si>
    <t>Stock Master: Real Time Stocks Market Quotes - iOS</t>
  </si>
  <si>
    <t>businessinsider.com</t>
  </si>
  <si>
    <t>Daily Mail Online</t>
  </si>
  <si>
    <t>Smart Stock - Android</t>
  </si>
  <si>
    <t>post.jagran.com</t>
  </si>
  <si>
    <t>NYTimes for iPhone - iOS</t>
  </si>
  <si>
    <t>EMI Calculator HDFC,ICICI,SBI - Android</t>
  </si>
  <si>
    <t>CamScanner HD - Android</t>
  </si>
  <si>
    <t>m.jagran.com</t>
  </si>
  <si>
    <t>ifsccodebank.com</t>
  </si>
  <si>
    <t>marketcalls.in</t>
  </si>
  <si>
    <t>India OnlineNewspapers - Android</t>
  </si>
  <si>
    <t>Easy Currency Converter - Android</t>
  </si>
  <si>
    <t>NeoReader QR &amp;amp; Barcode Scanner - Android</t>
  </si>
  <si>
    <t>ibnlive.com</t>
  </si>
  <si>
    <t>xe.com/currencyconverter</t>
  </si>
  <si>
    <t>bloomberg.com</t>
  </si>
  <si>
    <t>Geo News HD Official - iOS</t>
  </si>
  <si>
    <t>Stocks: Real-Time Stock Track - Android</t>
  </si>
  <si>
    <t>themoneyconverter.com</t>
  </si>
  <si>
    <t>Team Stream - Android</t>
  </si>
  <si>
    <t>Currency converter - Android</t>
  </si>
  <si>
    <t>Mobile Doc Scanner Lite - Android</t>
  </si>
  <si>
    <t>forbes.com</t>
  </si>
  <si>
    <t>anirudhsethireport.com</t>
  </si>
  <si>
    <t>Tamil Paper - Android</t>
  </si>
  <si>
    <t>Gold Live Price India - Android</t>
  </si>
  <si>
    <t>Global Stock Markets New - Android</t>
  </si>
  <si>
    <t>dnaindia.com</t>
  </si>
  <si>
    <t>nasdaq.com</t>
  </si>
  <si>
    <t>MailOnline</t>
  </si>
  <si>
    <t>World Stock Market - Android</t>
  </si>
  <si>
    <t>savemyrupee.com</t>
  </si>
  <si>
    <t>preservearticles.com</t>
  </si>
  <si>
    <t>iKaumudi - iOS</t>
  </si>
  <si>
    <t>Daily Expense Manager - Android</t>
  </si>
  <si>
    <t>Genius Scan - PDF Scanner - Android</t>
  </si>
  <si>
    <t>firstpost.com</t>
  </si>
  <si>
    <t>economist.com</t>
  </si>
  <si>
    <t>USA TODAY for iPhone</t>
  </si>
  <si>
    <t>QR Code Scan &amp; Barcode Scanner - Android</t>
  </si>
  <si>
    <t>webdunia.com</t>
  </si>
  <si>
    <t>barchart.com</t>
  </si>
  <si>
    <t>News Republic - Android</t>
  </si>
  <si>
    <t>All India Bank Info - Android</t>
  </si>
  <si>
    <t>Handy Scanner Free PDF Creator - Android</t>
  </si>
  <si>
    <t>greatandhra.com</t>
  </si>
  <si>
    <t>x-rates.com</t>
  </si>
  <si>
    <t>businessdictionary.com</t>
  </si>
  <si>
    <t>India Newspapers - Android</t>
  </si>
  <si>
    <t>AndroMoney Expense Track Money - Android</t>
  </si>
  <si>
    <t>Forex Currency Rates - Android</t>
  </si>
  <si>
    <t>hindi.webdunia.com</t>
  </si>
  <si>
    <t>cnn.com</t>
  </si>
  <si>
    <t>yourarticlelibrary.com</t>
  </si>
  <si>
    <t>Fast News - Android</t>
  </si>
  <si>
    <t>iExpense Diary - iOS</t>
  </si>
  <si>
    <t>GTasks: To-Do List &amp; Task List - Android</t>
  </si>
  <si>
    <t>bbc.com</t>
  </si>
  <si>
    <t>money.cnn.com</t>
  </si>
  <si>
    <t>inc.com</t>
  </si>
  <si>
    <t>Geo News Official - Android</t>
  </si>
  <si>
    <t>Gold Silver Live Prices Free - Android</t>
  </si>
  <si>
    <t>no company - Cloud Print ads - Android</t>
  </si>
  <si>
    <t>dawn.com</t>
  </si>
  <si>
    <t>businesstoday.intoday.in</t>
  </si>
  <si>
    <t>FOX News - Android</t>
  </si>
  <si>
    <t>Barchart Stocks Futures Forex - Android</t>
  </si>
  <si>
    <t>navbharattimes.indiatimes.com</t>
  </si>
  <si>
    <t>smallbusiness.chron.com</t>
  </si>
  <si>
    <t>Geo News - Android</t>
  </si>
  <si>
    <t>Expense IQ - Expense Manager - Android</t>
  </si>
  <si>
    <t>Barcode Scanner - Android</t>
  </si>
  <si>
    <t>jagranjosh.com</t>
  </si>
  <si>
    <t>coinmill.com</t>
  </si>
  <si>
    <t>aadharstats.com</t>
  </si>
  <si>
    <t>USA TODAY - Android</t>
  </si>
  <si>
    <t>Money Manager - Android</t>
  </si>
  <si>
    <t>CNNMoney Business and Finance News - iOS</t>
  </si>
  <si>
    <t>publishyourarticles.net</t>
  </si>
  <si>
    <t>USA TODAY for iPad - iOS</t>
  </si>
  <si>
    <t>Spending Tracker - Android</t>
  </si>
  <si>
    <t>Metrics Conversion - Unit Conv - Android</t>
  </si>
  <si>
    <t>bleacherreport.com</t>
  </si>
  <si>
    <t>ezinearticles.com</t>
  </si>
  <si>
    <t>Settle Up - Android</t>
  </si>
  <si>
    <t>VAT Calculator - Android</t>
  </si>
  <si>
    <t>indiewire.com</t>
  </si>
  <si>
    <t>The Washington Post for iPad - iOS</t>
  </si>
  <si>
    <t>Currency - Android</t>
  </si>
  <si>
    <t>Aviation Tools - Android</t>
  </si>
  <si>
    <t>m.greatandhra.com</t>
  </si>
  <si>
    <t>goldgal.com</t>
  </si>
  <si>
    <t>247wallst.com</t>
  </si>
  <si>
    <t>Temperature of India - Android</t>
  </si>
  <si>
    <t>MoneyWise - Android</t>
  </si>
  <si>
    <t>SCANNER PRO - QR Code Reader - Android</t>
  </si>
  <si>
    <t>hindustantimes.com</t>
  </si>
  <si>
    <t>digitalsynopsis.com</t>
  </si>
  <si>
    <t>Rsultats Foot en Direct - iOS</t>
  </si>
  <si>
    <t>ALL CURRENCY CONVERTER - Android</t>
  </si>
  <si>
    <t>Thai Siam Gold - Android</t>
  </si>
  <si>
    <t>m.bleacherreport.com</t>
  </si>
  <si>
    <t>livepriceofgold.com</t>
  </si>
  <si>
    <t>allevents.in</t>
  </si>
  <si>
    <t>BBC Urdu - Android</t>
  </si>
  <si>
    <t>Money Lover - Expense Manager - Android</t>
  </si>
  <si>
    <t>Real-Time Stocks - Android</t>
  </si>
  <si>
    <t>charteredclub.com</t>
  </si>
  <si>
    <t>hubpages.com</t>
  </si>
  <si>
    <t>Reddit Now - Android</t>
  </si>
  <si>
    <t>My Currency Exchange Rates Converter - iOS</t>
  </si>
  <si>
    <t>news24online.com</t>
  </si>
  <si>
    <t>teluguinvestor.com</t>
  </si>
  <si>
    <t>inhabitat.com</t>
  </si>
  <si>
    <t>India News - Android</t>
  </si>
  <si>
    <t>Spending Tracker - iOS</t>
  </si>
  <si>
    <t>Tasks N Todos - To Do List - Android</t>
  </si>
  <si>
    <t>livecharts.co.uk</t>
  </si>
  <si>
    <t>nextbigwhat.com</t>
  </si>
  <si>
    <t>Khabar Shabar BBC Urdu - Android</t>
  </si>
  <si>
    <t>Bank Interest Calculator - Android</t>
  </si>
  <si>
    <t>Gold Price Calculator Free - Android</t>
  </si>
  <si>
    <t>bankmicrcode.com</t>
  </si>
  <si>
    <t>venturebeat.com</t>
  </si>
  <si>
    <t>Tamil Radio - iOS</t>
  </si>
  <si>
    <t>Expense Manager HandWallet - Android</t>
  </si>
  <si>
    <t>Scanner Rayons X - Android</t>
  </si>
  <si>
    <t>investorwords.com</t>
  </si>
  <si>
    <t>cartrade.com</t>
  </si>
  <si>
    <t>Jang News - Android</t>
  </si>
  <si>
    <t>EZ Financial Calculators - iOS</t>
  </si>
  <si>
    <t>NASDAQ Stocks Live - Android</t>
  </si>
  <si>
    <t>indiatoday.intoday.in</t>
  </si>
  <si>
    <t>staffcorner.com</t>
  </si>
  <si>
    <t>DipoleTech - The Times of India - Android</t>
  </si>
  <si>
    <t>Gold &amp;amp; Silver Price Checker - Android</t>
  </si>
  <si>
    <t>Stocks Portfolio - Android</t>
  </si>
  <si>
    <t>thebankcodes.com</t>
  </si>
  <si>
    <t>Eenadu Sunday Book - iOS</t>
  </si>
  <si>
    <t>Currency Table - Android</t>
  </si>
  <si>
    <t>ibnkhabar.com</t>
  </si>
  <si>
    <t>live-gold-rate.com</t>
  </si>
  <si>
    <t>mumbai77.com</t>
  </si>
  <si>
    <t>Bangi News - Android</t>
  </si>
  <si>
    <t>Stock Wars - Virtual Investing - iOS</t>
  </si>
  <si>
    <t>money.howstuffworks.com</t>
  </si>
  <si>
    <t>globalfirepower.com</t>
  </si>
  <si>
    <t>World Currency Converter - iOS</t>
  </si>
  <si>
    <t>Engineering Weight Calc Free - Android</t>
  </si>
  <si>
    <t>nytimes.com</t>
  </si>
  <si>
    <t>businessweek.com</t>
  </si>
  <si>
    <t>Sunrise Sunset - Android</t>
  </si>
  <si>
    <t>Gold Price Live - Android</t>
  </si>
  <si>
    <t>Attendance Tracker (SALE) - Android</t>
  </si>
  <si>
    <t>techradar.com</t>
  </si>
  <si>
    <t>goldpricesdubai.com</t>
  </si>
  <si>
    <t>mashable.com</t>
  </si>
  <si>
    <t>US Topo Maps - Android</t>
  </si>
  <si>
    <t>T2Expense - Money Manager - Android</t>
  </si>
  <si>
    <t>Companies Act 1956 - Android</t>
  </si>
  <si>
    <t>ibnlive.in.com</t>
  </si>
  <si>
    <t>livegoldrate.co.in</t>
  </si>
  <si>
    <t>tradingeconomics.com</t>
  </si>
  <si>
    <t>World News Live24 - Android</t>
  </si>
  <si>
    <t>Stock Watcher - Android</t>
  </si>
  <si>
    <t>Bar-Code - iOS</t>
  </si>
  <si>
    <t>shareyouressays.com</t>
  </si>
  <si>
    <t>Newspapers UK free (English) - Android</t>
  </si>
  <si>
    <t>Rupya - iOS</t>
  </si>
  <si>
    <t>Intraday Stock Quotes n Charts - Android</t>
  </si>
  <si>
    <t>news.raftaar.in</t>
  </si>
  <si>
    <t>excellup.com</t>
  </si>
  <si>
    <t>Urdu News Online - Android</t>
  </si>
  <si>
    <t>My wallets. - Android</t>
  </si>
  <si>
    <t>Stock Quote - Android</t>
  </si>
  <si>
    <t>indiamicrofinance.com</t>
  </si>
  <si>
    <t>informer.com</t>
  </si>
  <si>
    <t>PineNuts Devs - Tech News - Android</t>
  </si>
  <si>
    <t>My Currency - Converter - Android</t>
  </si>
  <si>
    <t>Stock Futures - Android</t>
  </si>
  <si>
    <t>ppfaccount.in</t>
  </si>
  <si>
    <t>searchenginejournal.com</t>
  </si>
  <si>
    <t>Phandroid News - Android</t>
  </si>
  <si>
    <t>Bluetooth Transfer Any File - Android</t>
  </si>
  <si>
    <t>Android Stocks Tape Widget - Android</t>
  </si>
  <si>
    <t>financialpost.com</t>
  </si>
  <si>
    <t>fixya.com</t>
  </si>
  <si>
    <t>News Free - RSS Feed Reader App - iOS</t>
  </si>
  <si>
    <t>TrackPack - Mail Tracking - Android</t>
  </si>
  <si>
    <t>prabhatkhabar.com</t>
  </si>
  <si>
    <t>business.financialpost.com</t>
  </si>
  <si>
    <t>m.authorstream.com</t>
  </si>
  <si>
    <t>DoDock - BanglaPapers - Android</t>
  </si>
  <si>
    <t>Semi-Transparent Channel &gt;&gt; Urbanspoon: All</t>
  </si>
  <si>
    <t>Checklist - Android</t>
  </si>
  <si>
    <t>beforeitsnews.com</t>
  </si>
  <si>
    <t>beginnersinvest.about.com</t>
  </si>
  <si>
    <t>gradesaver.com</t>
  </si>
  <si>
    <t>Malayalam News Live - Android</t>
  </si>
  <si>
    <t>Dictionary.com Dictionary &amp; Thesaurus - iOS</t>
  </si>
  <si>
    <t>Currency Change Free - iOS</t>
  </si>
  <si>
    <t>ibtimes.co.uk</t>
  </si>
  <si>
    <t>accountingformanagement.org</t>
  </si>
  <si>
    <t>products.tradeindia.com</t>
  </si>
  <si>
    <t>One Month</t>
  </si>
  <si>
    <t>Unit Buy</t>
  </si>
  <si>
    <t xml:space="preserve">Unit Rate </t>
  </si>
  <si>
    <t>Estd. Impressions</t>
  </si>
  <si>
    <t>Estd. Clicks</t>
  </si>
  <si>
    <t>Estd. CTR%</t>
  </si>
  <si>
    <t>Estd. Engagements/Leads/Mail send/likes</t>
  </si>
  <si>
    <t>Cost</t>
  </si>
  <si>
    <t>CPC</t>
  </si>
  <si>
    <t>CPM - RTB</t>
  </si>
  <si>
    <t>CPC - RTB</t>
  </si>
  <si>
    <t>CPSend</t>
  </si>
  <si>
    <t>YouTube ( Wlakthrough)</t>
  </si>
  <si>
    <t>Keywords &amp; Interest Targeting</t>
  </si>
  <si>
    <t>INR 10</t>
  </si>
  <si>
    <t>CPL</t>
  </si>
  <si>
    <t>Facebook / Instagram Ads (Remarketing)</t>
  </si>
  <si>
    <t>Remarketing Audience pool targeting</t>
  </si>
  <si>
    <t>Budget Per Day</t>
  </si>
  <si>
    <t>Estd. Likes/reach</t>
  </si>
  <si>
    <t>CPM</t>
  </si>
  <si>
    <t xml:space="preserve"> </t>
  </si>
  <si>
    <t>ROI</t>
  </si>
  <si>
    <t>Estd. Website Clicks</t>
  </si>
  <si>
    <t xml:space="preserve">Page Likes </t>
  </si>
  <si>
    <t>Post Reach/Likes</t>
  </si>
  <si>
    <t>Estd. Emailers</t>
  </si>
  <si>
    <t>Estd. Leads From Adwords</t>
  </si>
  <si>
    <t>Tentative Total Leads</t>
  </si>
  <si>
    <t xml:space="preserve">Retainership Package Details </t>
  </si>
  <si>
    <t>Duration - 30 Days</t>
  </si>
  <si>
    <t xml:space="preserve">Note: </t>
  </si>
  <si>
    <t>Taxes As Applicable</t>
  </si>
  <si>
    <t>All third party payments will be extra as shared in respective sheets.</t>
  </si>
  <si>
    <t>Quora Ads</t>
  </si>
  <si>
    <t>Topic, keywords, Question based Audience</t>
  </si>
  <si>
    <t>Image + Text + Video</t>
  </si>
  <si>
    <t>Estd. Leads From Social</t>
  </si>
  <si>
    <t xml:space="preserve">Brand Awareness / Broker Network / Hype Creation / Leads / ETC </t>
  </si>
  <si>
    <t>All Ad account read only access will be shared with the client.</t>
  </si>
  <si>
    <t>All expected queries are tentative and can vary as per market.</t>
  </si>
  <si>
    <t>Budget and Projects can be revised as per requirement</t>
  </si>
  <si>
    <t xml:space="preserve">✔ </t>
  </si>
  <si>
    <t>Total Amount</t>
  </si>
  <si>
    <t xml:space="preserve">GTF Technologies Fees </t>
  </si>
  <si>
    <t>Included</t>
  </si>
  <si>
    <t>KW Blue Pearl</t>
  </si>
  <si>
    <t>KW Delhi 6</t>
  </si>
  <si>
    <t>KW Group</t>
  </si>
  <si>
    <t>Paid Ads Campaigns Blue Pearl</t>
  </si>
  <si>
    <t>Paid Ads Campaigns Delhi 6</t>
  </si>
  <si>
    <t>Paid Ads Campaigns Leasing</t>
  </si>
  <si>
    <t xml:space="preserve"> Geo: Pan India; Seniority: Director, VP, CXO, CIO, CFO, C- suite audience, Owners, Partners ; Industry : Retail, Food, Hospitality.
</t>
  </si>
  <si>
    <t>Delhi NCR, Other Metro Cities</t>
  </si>
  <si>
    <t>KW Blue Pearl and KW Delhi 6</t>
  </si>
  <si>
    <t>Creatives</t>
  </si>
  <si>
    <t>Newspaper Ad Design</t>
  </si>
  <si>
    <t>2 to 4 Creatives</t>
  </si>
  <si>
    <t>Yes/No</t>
  </si>
  <si>
    <t>Whatsapp Communication Creatives</t>
  </si>
  <si>
    <t>12 to 15 Creatives</t>
  </si>
  <si>
    <t>Facebook Post and Story</t>
  </si>
  <si>
    <t>Instagram Post and Story</t>
  </si>
  <si>
    <t xml:space="preserve">Twitter Post </t>
  </si>
  <si>
    <t xml:space="preserve">LinkedIn Post </t>
  </si>
  <si>
    <t>Bill Board &amp; Hordings Design</t>
  </si>
  <si>
    <t>Leaflet Design</t>
  </si>
  <si>
    <t>Social Media Management</t>
  </si>
  <si>
    <t>Page Likes ( Facebook and LinkedIn )</t>
  </si>
  <si>
    <t>Followers ( Instagram and Twitter )</t>
  </si>
  <si>
    <t>Facebook Post Boost</t>
  </si>
  <si>
    <t>Instagram Post Boost</t>
  </si>
  <si>
    <t>LinkedIn Post Boost</t>
  </si>
  <si>
    <t xml:space="preserve"> Account Management  </t>
  </si>
  <si>
    <t>As per requirement</t>
  </si>
  <si>
    <t xml:space="preserve"> Creation Of Campaign  </t>
  </si>
  <si>
    <t>Facebook Marketing</t>
  </si>
  <si>
    <t>If Required</t>
  </si>
  <si>
    <t> Facebook Business Manager Set Up</t>
  </si>
  <si>
    <t> Pixel Installation</t>
  </si>
  <si>
    <t> Custom Conversion Creation</t>
  </si>
  <si>
    <t> Remarketing</t>
  </si>
  <si>
    <t> Custom Audience Creation</t>
  </si>
  <si>
    <t> Creation Of Automated Rules</t>
  </si>
  <si>
    <t> Facebook Analytics Report Creation</t>
  </si>
  <si>
    <t> Ad Campaign Monitoring</t>
  </si>
  <si>
    <t> Catalogue Creation</t>
  </si>
  <si>
    <t> Dynamic Ads Creation</t>
  </si>
  <si>
    <t> Instant Experience Ads Creation</t>
  </si>
  <si>
    <t> Customization Of Ad Placements</t>
  </si>
  <si>
    <t> A/B Testing Of Ad Set, Creative And Placement</t>
  </si>
  <si>
    <t> Carousel And Collection Ads</t>
  </si>
  <si>
    <t> Traffic Monitoring</t>
  </si>
  <si>
    <t> Monthly Report</t>
  </si>
  <si>
    <t>Instagram Marketing</t>
  </si>
  <si>
    <t> Audience Research</t>
  </si>
  <si>
    <t> Instagram Ads Creative Creation &amp; Design</t>
  </si>
  <si>
    <t> Instagram Ads Monitoring And Management</t>
  </si>
  <si>
    <t>LinkedIn Marketing</t>
  </si>
  <si>
    <t> Campaign Manager Account Set Up</t>
  </si>
  <si>
    <t> LinkedIn Insight Tag Installation</t>
  </si>
  <si>
    <t> Creation Of Custom Conversion</t>
  </si>
  <si>
    <t> Ads Monitoring</t>
  </si>
  <si>
    <t>Youtube Marketing</t>
  </si>
  <si>
    <t> Youtube Ad Account Set Up</t>
  </si>
  <si>
    <t> Skippable In-Stream Ads</t>
  </si>
  <si>
    <t> Non-Skippable In-Stream Ads</t>
  </si>
  <si>
    <t> Bumper Ads</t>
  </si>
  <si>
    <t> Discovery Ads</t>
  </si>
  <si>
    <t> Youtube Video Sequence Ads</t>
  </si>
  <si>
    <t> Detailed Audience Creation</t>
  </si>
  <si>
    <t> A/B Testing Of Targeting</t>
  </si>
  <si>
    <t> Remarketing Video Ads</t>
  </si>
  <si>
    <t> Video Ads With Promotion Of Your Products</t>
  </si>
  <si>
    <t>Twitter Marketing</t>
  </si>
  <si>
    <t> Tweet Engagement Ads</t>
  </si>
  <si>
    <t> Video Or GIF View Ads</t>
  </si>
  <si>
    <t> Awareness Ads</t>
  </si>
  <si>
    <t> Website Conversion Ads</t>
  </si>
  <si>
    <t> In-stream Video View Ads</t>
  </si>
  <si>
    <t> Follower Ads</t>
  </si>
  <si>
    <t> App Install Ads</t>
  </si>
  <si>
    <t> App Reengagement</t>
  </si>
  <si>
    <t> Audience Creation</t>
  </si>
  <si>
    <t>SUPPORT</t>
  </si>
  <si>
    <t> Email</t>
  </si>
  <si>
    <t> Chat</t>
  </si>
  <si>
    <t> Call</t>
  </si>
  <si>
    <t>REPORTING</t>
  </si>
  <si>
    <t> Monthly</t>
  </si>
  <si>
    <t> Weekly</t>
  </si>
  <si>
    <t>Social Media Marketing</t>
  </si>
  <si>
    <t xml:space="preserve">Brand Awareness / Hype Creation / ETC </t>
  </si>
  <si>
    <t>Facebook/Instagram</t>
  </si>
  <si>
    <t>Sponsored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</si>
</sst>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[$-409]dd/mmm/yy"/>
    <numFmt numFmtId="167" formatCode="[$INR]\ #,##0"/>
    <numFmt numFmtId="168" formatCode="[$INR]\ #,##0_);\([$INR]\ #,##0\)"/>
    <numFmt numFmtId="169" formatCode="_(* #,##0_);_(* \(#,##0\);_(* &quot;-&quot;??_);_(@_)"/>
    <numFmt numFmtId="170" formatCode="[$INR]\ #,##0.00"/>
    <numFmt numFmtId="171" formatCode="[$INR]\ #,##0.00_);\([$INR]\ #,##0.00\)"/>
  </numFmts>
  <fonts count="2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</font>
    <font>
      <sz val="14"/>
      <color rgb="FFFFFFFF"/>
      <name val="Calibri"/>
      <family val="2"/>
    </font>
    <font>
      <sz val="14"/>
      <color theme="0"/>
      <name val="Calibri"/>
      <family val="2"/>
      <scheme val="minor"/>
    </font>
    <font>
      <sz val="11"/>
      <name val="Arial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rgb="FF222222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4"/>
      <color rgb="FF000000"/>
      <name val="Calibri"/>
      <family val="2"/>
    </font>
    <font>
      <b/>
      <sz val="18"/>
      <color theme="1"/>
      <name val="Calibri"/>
      <family val="2"/>
    </font>
    <font>
      <b/>
      <sz val="12"/>
      <color theme="0"/>
      <name val="Calibri"/>
      <family val="2"/>
    </font>
    <font>
      <sz val="8.4"/>
      <color theme="1"/>
      <name val="Calibri"/>
      <family val="2"/>
    </font>
    <font>
      <sz val="14"/>
      <color theme="0"/>
      <name val="Calibri (Body)_x0000_"/>
    </font>
    <font>
      <sz val="14"/>
      <color rgb="FFFFFFFF"/>
      <name val="Calibri (Body)_x0000_"/>
    </font>
    <font>
      <sz val="14"/>
      <color theme="1"/>
      <name val="Calibri (Body)_x0000_"/>
    </font>
    <font>
      <sz val="14"/>
      <color rgb="FF000000"/>
      <name val="Calibri (Body)_x0000_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938953"/>
        <bgColor rgb="FF938953"/>
      </patternFill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3">
    <xf numFmtId="0" fontId="0" fillId="0" borderId="0" xfId="0"/>
    <xf numFmtId="165" fontId="2" fillId="2" borderId="2" xfId="0" applyNumberFormat="1" applyFont="1" applyFill="1" applyBorder="1" applyAlignment="1">
      <alignment horizontal="left" vertical="center"/>
    </xf>
    <xf numFmtId="0" fontId="0" fillId="0" borderId="0" xfId="0" applyFont="1" applyAlignment="1"/>
    <xf numFmtId="165" fontId="2" fillId="2" borderId="4" xfId="0" applyNumberFormat="1" applyFont="1" applyFill="1" applyBorder="1" applyAlignment="1">
      <alignment horizontal="left" vertical="center"/>
    </xf>
    <xf numFmtId="165" fontId="2" fillId="0" borderId="5" xfId="0" applyNumberFormat="1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horizontal="left"/>
    </xf>
    <xf numFmtId="0" fontId="5" fillId="0" borderId="0" xfId="0" applyFont="1" applyFill="1" applyBorder="1"/>
    <xf numFmtId="0" fontId="0" fillId="0" borderId="0" xfId="0" applyFont="1" applyFill="1" applyAlignment="1"/>
    <xf numFmtId="0" fontId="8" fillId="4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" fillId="5" borderId="4" xfId="0" applyFont="1" applyFill="1" applyBorder="1"/>
    <xf numFmtId="0" fontId="8" fillId="0" borderId="4" xfId="0" applyFont="1" applyBorder="1"/>
    <xf numFmtId="0" fontId="2" fillId="5" borderId="0" xfId="0" applyFont="1" applyFill="1" applyBorder="1"/>
    <xf numFmtId="165" fontId="10" fillId="6" borderId="3" xfId="0" applyNumberFormat="1" applyFont="1" applyFill="1" applyBorder="1" applyAlignment="1">
      <alignment horizontal="center"/>
    </xf>
    <xf numFmtId="165" fontId="10" fillId="6" borderId="0" xfId="0" applyNumberFormat="1" applyFont="1" applyFill="1" applyBorder="1" applyAlignment="1">
      <alignment horizontal="center"/>
    </xf>
    <xf numFmtId="0" fontId="11" fillId="0" borderId="4" xfId="0" applyFont="1" applyBorder="1"/>
    <xf numFmtId="166" fontId="11" fillId="4" borderId="2" xfId="0" applyNumberFormat="1" applyFont="1" applyFill="1" applyBorder="1" applyAlignment="1">
      <alignment vertical="center"/>
    </xf>
    <xf numFmtId="0" fontId="11" fillId="4" borderId="2" xfId="0" applyFont="1" applyFill="1" applyBorder="1"/>
    <xf numFmtId="166" fontId="11" fillId="4" borderId="4" xfId="0" applyNumberFormat="1" applyFont="1" applyFill="1" applyBorder="1" applyAlignment="1">
      <alignment vertical="center"/>
    </xf>
    <xf numFmtId="0" fontId="11" fillId="4" borderId="4" xfId="0" applyFont="1" applyFill="1" applyBorder="1"/>
    <xf numFmtId="0" fontId="11" fillId="0" borderId="0" xfId="0" applyFont="1"/>
    <xf numFmtId="0" fontId="12" fillId="0" borderId="0" xfId="0" applyFont="1"/>
    <xf numFmtId="0" fontId="13" fillId="0" borderId="4" xfId="0" applyFont="1" applyBorder="1"/>
    <xf numFmtId="0" fontId="13" fillId="0" borderId="0" xfId="0" applyFont="1"/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  <xf numFmtId="165" fontId="8" fillId="4" borderId="7" xfId="0" applyNumberFormat="1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167" fontId="6" fillId="2" borderId="4" xfId="0" applyNumberFormat="1" applyFont="1" applyFill="1" applyBorder="1" applyAlignment="1">
      <alignment horizontal="center" vertical="center" wrapText="1"/>
    </xf>
    <xf numFmtId="3" fontId="6" fillId="2" borderId="4" xfId="0" applyNumberFormat="1" applyFont="1" applyFill="1" applyBorder="1" applyAlignment="1">
      <alignment horizontal="center" vertical="center" wrapText="1"/>
    </xf>
    <xf numFmtId="10" fontId="6" fillId="2" borderId="4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167" fontId="2" fillId="3" borderId="6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right" vertical="center"/>
    </xf>
    <xf numFmtId="3" fontId="8" fillId="0" borderId="4" xfId="0" applyNumberFormat="1" applyFont="1" applyBorder="1" applyAlignment="1">
      <alignment horizontal="right" vertical="center"/>
    </xf>
    <xf numFmtId="10" fontId="8" fillId="0" borderId="4" xfId="0" applyNumberFormat="1" applyFont="1" applyBorder="1" applyAlignment="1">
      <alignment horizontal="right" vertical="center"/>
    </xf>
    <xf numFmtId="1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vertical="center" wrapText="1"/>
    </xf>
    <xf numFmtId="165" fontId="7" fillId="3" borderId="9" xfId="0" applyNumberFormat="1" applyFont="1" applyFill="1" applyBorder="1" applyAlignment="1">
      <alignment vertical="center" wrapText="1"/>
    </xf>
    <xf numFmtId="165" fontId="7" fillId="3" borderId="11" xfId="0" applyNumberFormat="1" applyFont="1" applyFill="1" applyBorder="1" applyAlignment="1">
      <alignment vertical="center" wrapText="1"/>
    </xf>
    <xf numFmtId="0" fontId="8" fillId="3" borderId="0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center" vertical="center" wrapText="1"/>
    </xf>
    <xf numFmtId="167" fontId="8" fillId="3" borderId="12" xfId="0" applyNumberFormat="1" applyFont="1" applyFill="1" applyBorder="1" applyAlignment="1">
      <alignment horizontal="right" vertical="center"/>
    </xf>
    <xf numFmtId="3" fontId="8" fillId="3" borderId="12" xfId="0" applyNumberFormat="1" applyFont="1" applyFill="1" applyBorder="1" applyAlignment="1">
      <alignment horizontal="right" vertical="center"/>
    </xf>
    <xf numFmtId="10" fontId="8" fillId="3" borderId="12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/>
    </xf>
    <xf numFmtId="3" fontId="8" fillId="4" borderId="4" xfId="0" applyNumberFormat="1" applyFont="1" applyFill="1" applyBorder="1" applyAlignment="1">
      <alignment horizontal="right" vertical="center"/>
    </xf>
    <xf numFmtId="10" fontId="8" fillId="4" borderId="4" xfId="0" applyNumberFormat="1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167" fontId="8" fillId="3" borderId="6" xfId="0" applyNumberFormat="1" applyFont="1" applyFill="1" applyBorder="1" applyAlignment="1">
      <alignment horizontal="right" vertical="center" wrapText="1"/>
    </xf>
    <xf numFmtId="0" fontId="8" fillId="3" borderId="6" xfId="0" applyFont="1" applyFill="1" applyBorder="1" applyAlignment="1">
      <alignment horizontal="right" vertical="center" wrapText="1"/>
    </xf>
    <xf numFmtId="165" fontId="8" fillId="4" borderId="2" xfId="0" applyNumberFormat="1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67" fontId="8" fillId="0" borderId="3" xfId="0" applyNumberFormat="1" applyFont="1" applyBorder="1" applyAlignment="1">
      <alignment horizontal="right" vertical="center"/>
    </xf>
    <xf numFmtId="15" fontId="9" fillId="3" borderId="9" xfId="0" applyNumberFormat="1" applyFont="1" applyFill="1" applyBorder="1" applyAlignment="1">
      <alignment horizontal="left" vertical="center" wrapText="1"/>
    </xf>
    <xf numFmtId="167" fontId="8" fillId="3" borderId="6" xfId="0" applyNumberFormat="1" applyFont="1" applyFill="1" applyBorder="1" applyAlignment="1">
      <alignment horizontal="right" vertical="center"/>
    </xf>
    <xf numFmtId="3" fontId="8" fillId="3" borderId="9" xfId="0" applyNumberFormat="1" applyFont="1" applyFill="1" applyBorder="1" applyAlignment="1">
      <alignment horizontal="right" vertical="center"/>
    </xf>
    <xf numFmtId="10" fontId="8" fillId="3" borderId="9" xfId="0" applyNumberFormat="1" applyFont="1" applyFill="1" applyBorder="1" applyAlignment="1">
      <alignment horizontal="right" vertical="center"/>
    </xf>
    <xf numFmtId="165" fontId="8" fillId="4" borderId="8" xfId="0" applyNumberFormat="1" applyFont="1" applyFill="1" applyBorder="1" applyAlignment="1">
      <alignment vertical="center" wrapText="1"/>
    </xf>
    <xf numFmtId="15" fontId="9" fillId="4" borderId="4" xfId="0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169" fontId="8" fillId="0" borderId="4" xfId="0" applyNumberFormat="1" applyFont="1" applyBorder="1" applyAlignment="1">
      <alignment horizontal="right" vertical="center" wrapText="1"/>
    </xf>
    <xf numFmtId="10" fontId="8" fillId="4" borderId="9" xfId="0" applyNumberFormat="1" applyFont="1" applyFill="1" applyBorder="1" applyAlignment="1">
      <alignment horizontal="right" vertical="center"/>
    </xf>
    <xf numFmtId="0" fontId="8" fillId="4" borderId="15" xfId="0" applyFont="1" applyFill="1" applyBorder="1" applyAlignment="1">
      <alignment horizontal="center" vertical="center" wrapText="1"/>
    </xf>
    <xf numFmtId="167" fontId="8" fillId="0" borderId="6" xfId="0" applyNumberFormat="1" applyFont="1" applyBorder="1" applyAlignment="1">
      <alignment horizontal="right" vertical="center"/>
    </xf>
    <xf numFmtId="169" fontId="8" fillId="0" borderId="6" xfId="0" applyNumberFormat="1" applyFont="1" applyBorder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167" fontId="8" fillId="0" borderId="10" xfId="0" applyNumberFormat="1" applyFont="1" applyBorder="1" applyAlignment="1">
      <alignment horizontal="right" vertical="center"/>
    </xf>
    <xf numFmtId="3" fontId="8" fillId="4" borderId="14" xfId="0" applyNumberFormat="1" applyFont="1" applyFill="1" applyBorder="1" applyAlignment="1">
      <alignment horizontal="right" vertical="center"/>
    </xf>
    <xf numFmtId="10" fontId="8" fillId="4" borderId="14" xfId="0" applyNumberFormat="1" applyFont="1" applyFill="1" applyBorder="1" applyAlignment="1">
      <alignment horizontal="right" vertical="center"/>
    </xf>
    <xf numFmtId="167" fontId="8" fillId="0" borderId="7" xfId="0" applyNumberFormat="1" applyFont="1" applyBorder="1" applyAlignment="1">
      <alignment horizontal="right" vertical="center"/>
    </xf>
    <xf numFmtId="3" fontId="8" fillId="4" borderId="7" xfId="0" applyNumberFormat="1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center" vertical="center" wrapText="1"/>
    </xf>
    <xf numFmtId="165" fontId="8" fillId="4" borderId="15" xfId="0" applyNumberFormat="1" applyFont="1" applyFill="1" applyBorder="1" applyAlignment="1">
      <alignment horizontal="left" vertical="center" wrapText="1"/>
    </xf>
    <xf numFmtId="15" fontId="9" fillId="4" borderId="15" xfId="0" applyNumberFormat="1" applyFont="1" applyFill="1" applyBorder="1" applyAlignment="1">
      <alignment horizontal="left" vertical="center" wrapText="1"/>
    </xf>
    <xf numFmtId="3" fontId="8" fillId="4" borderId="3" xfId="0" applyNumberFormat="1" applyFont="1" applyFill="1" applyBorder="1" applyAlignment="1">
      <alignment horizontal="right" vertical="center"/>
    </xf>
    <xf numFmtId="0" fontId="0" fillId="0" borderId="7" xfId="0" applyFont="1" applyBorder="1" applyAlignment="1"/>
    <xf numFmtId="3" fontId="8" fillId="4" borderId="7" xfId="0" applyNumberFormat="1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165" fontId="6" fillId="3" borderId="16" xfId="0" applyNumberFormat="1" applyFont="1" applyFill="1" applyBorder="1" applyAlignment="1">
      <alignment horizontal="right" vertical="center"/>
    </xf>
    <xf numFmtId="167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8" fillId="3" borderId="4" xfId="0" applyFont="1" applyFill="1" applyBorder="1" applyAlignment="1">
      <alignment horizontal="left"/>
    </xf>
    <xf numFmtId="165" fontId="8" fillId="0" borderId="4" xfId="0" applyNumberFormat="1" applyFont="1" applyBorder="1" applyAlignment="1">
      <alignment horizontal="left"/>
    </xf>
    <xf numFmtId="169" fontId="8" fillId="0" borderId="4" xfId="0" applyNumberFormat="1" applyFont="1" applyBorder="1" applyAlignment="1">
      <alignment horizontal="left"/>
    </xf>
    <xf numFmtId="43" fontId="8" fillId="0" borderId="0" xfId="0" applyNumberFormat="1" applyFont="1" applyAlignment="1">
      <alignment horizontal="left"/>
    </xf>
    <xf numFmtId="0" fontId="8" fillId="3" borderId="4" xfId="0" applyFont="1" applyFill="1" applyBorder="1" applyAlignment="1">
      <alignment horizontal="left" vertical="center"/>
    </xf>
    <xf numFmtId="3" fontId="8" fillId="0" borderId="4" xfId="0" applyNumberFormat="1" applyFont="1" applyBorder="1"/>
    <xf numFmtId="0" fontId="15" fillId="3" borderId="4" xfId="0" applyFont="1" applyFill="1" applyBorder="1" applyAlignment="1">
      <alignment horizontal="left" vertical="center"/>
    </xf>
    <xf numFmtId="3" fontId="15" fillId="0" borderId="4" xfId="0" applyNumberFormat="1" applyFont="1" applyBorder="1"/>
    <xf numFmtId="170" fontId="8" fillId="0" borderId="0" xfId="0" applyNumberFormat="1" applyFont="1" applyAlignment="1">
      <alignment horizontal="right"/>
    </xf>
    <xf numFmtId="165" fontId="4" fillId="2" borderId="2" xfId="0" applyNumberFormat="1" applyFont="1" applyFill="1" applyBorder="1" applyAlignment="1">
      <alignment vertical="top"/>
    </xf>
    <xf numFmtId="165" fontId="4" fillId="2" borderId="3" xfId="0" applyNumberFormat="1" applyFont="1" applyFill="1" applyBorder="1" applyAlignment="1">
      <alignment vertical="top"/>
    </xf>
    <xf numFmtId="165" fontId="8" fillId="4" borderId="24" xfId="0" applyNumberFormat="1" applyFont="1" applyFill="1" applyBorder="1" applyAlignment="1">
      <alignment horizontal="left" vertical="center" wrapText="1"/>
    </xf>
    <xf numFmtId="0" fontId="8" fillId="4" borderId="17" xfId="0" applyFont="1" applyFill="1" applyBorder="1" applyAlignment="1">
      <alignment horizontal="center" vertical="center" wrapText="1"/>
    </xf>
    <xf numFmtId="165" fontId="8" fillId="4" borderId="26" xfId="0" applyNumberFormat="1" applyFont="1" applyFill="1" applyBorder="1" applyAlignment="1">
      <alignment horizontal="left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3" borderId="3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/>
    </xf>
    <xf numFmtId="165" fontId="7" fillId="3" borderId="10" xfId="0" applyNumberFormat="1" applyFont="1" applyFill="1" applyBorder="1" applyAlignment="1">
      <alignment horizontal="right" vertical="center" wrapText="1"/>
    </xf>
    <xf numFmtId="168" fontId="8" fillId="3" borderId="13" xfId="0" applyNumberFormat="1" applyFont="1" applyFill="1" applyBorder="1" applyAlignment="1">
      <alignment horizontal="right" vertical="center"/>
    </xf>
    <xf numFmtId="168" fontId="8" fillId="4" borderId="4" xfId="0" applyNumberFormat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right" vertical="center" wrapText="1"/>
    </xf>
    <xf numFmtId="168" fontId="14" fillId="3" borderId="3" xfId="0" applyNumberFormat="1" applyFont="1" applyFill="1" applyBorder="1" applyAlignment="1">
      <alignment horizontal="right" vertical="center"/>
    </xf>
    <xf numFmtId="168" fontId="14" fillId="0" borderId="3" xfId="0" applyNumberFormat="1" applyFont="1" applyBorder="1" applyAlignment="1">
      <alignment horizontal="right" vertical="center"/>
    </xf>
    <xf numFmtId="168" fontId="8" fillId="4" borderId="3" xfId="0" applyNumberFormat="1" applyFont="1" applyFill="1" applyBorder="1" applyAlignment="1">
      <alignment horizontal="right" vertical="center"/>
    </xf>
    <xf numFmtId="168" fontId="8" fillId="4" borderId="10" xfId="0" applyNumberFormat="1" applyFont="1" applyFill="1" applyBorder="1" applyAlignment="1">
      <alignment horizontal="right" vertical="center"/>
    </xf>
    <xf numFmtId="0" fontId="7" fillId="3" borderId="17" xfId="0" applyFont="1" applyFill="1" applyBorder="1" applyAlignment="1">
      <alignment horizontal="right" vertical="center" wrapText="1"/>
    </xf>
    <xf numFmtId="168" fontId="6" fillId="3" borderId="16" xfId="0" applyNumberFormat="1" applyFont="1" applyFill="1" applyBorder="1" applyAlignment="1">
      <alignment horizontal="right" vertical="center"/>
    </xf>
    <xf numFmtId="168" fontId="8" fillId="0" borderId="0" xfId="0" applyNumberFormat="1" applyFont="1" applyAlignment="1">
      <alignment horizontal="right"/>
    </xf>
    <xf numFmtId="165" fontId="16" fillId="0" borderId="0" xfId="0" applyNumberFormat="1" applyFont="1" applyFill="1" applyBorder="1" applyAlignment="1">
      <alignment horizontal="center" vertical="center"/>
    </xf>
    <xf numFmtId="171" fontId="16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165" fontId="2" fillId="2" borderId="31" xfId="0" applyNumberFormat="1" applyFont="1" applyFill="1" applyBorder="1" applyAlignment="1">
      <alignment horizontal="left" vertical="center"/>
    </xf>
    <xf numFmtId="165" fontId="2" fillId="2" borderId="34" xfId="0" applyNumberFormat="1" applyFont="1" applyFill="1" applyBorder="1" applyAlignment="1">
      <alignment horizontal="left" vertical="center"/>
    </xf>
    <xf numFmtId="165" fontId="2" fillId="2" borderId="36" xfId="0" applyNumberFormat="1" applyFont="1" applyFill="1" applyBorder="1" applyAlignment="1">
      <alignment horizontal="left" vertical="center"/>
    </xf>
    <xf numFmtId="0" fontId="0" fillId="0" borderId="7" xfId="0" applyBorder="1"/>
    <xf numFmtId="0" fontId="17" fillId="0" borderId="7" xfId="0" applyFont="1" applyBorder="1" applyAlignment="1">
      <alignment horizontal="center" vertical="center"/>
    </xf>
    <xf numFmtId="0" fontId="0" fillId="0" borderId="34" xfId="0" applyBorder="1"/>
    <xf numFmtId="170" fontId="0" fillId="0" borderId="35" xfId="0" applyNumberFormat="1" applyBorder="1"/>
    <xf numFmtId="0" fontId="0" fillId="0" borderId="34" xfId="0" applyBorder="1" applyAlignment="1">
      <alignment horizontal="left"/>
    </xf>
    <xf numFmtId="0" fontId="17" fillId="0" borderId="27" xfId="0" applyFont="1" applyBorder="1" applyAlignment="1">
      <alignment horizontal="center" vertical="center"/>
    </xf>
    <xf numFmtId="165" fontId="6" fillId="2" borderId="39" xfId="0" applyNumberFormat="1" applyFont="1" applyFill="1" applyBorder="1" applyAlignment="1">
      <alignment horizontal="left" vertical="center"/>
    </xf>
    <xf numFmtId="165" fontId="2" fillId="2" borderId="40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0" fillId="0" borderId="41" xfId="0" applyFill="1" applyBorder="1"/>
    <xf numFmtId="165" fontId="2" fillId="2" borderId="40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left" vertical="center"/>
    </xf>
    <xf numFmtId="0" fontId="8" fillId="4" borderId="27" xfId="0" applyFont="1" applyFill="1" applyBorder="1" applyAlignment="1">
      <alignment horizontal="center" vertical="center" wrapText="1"/>
    </xf>
    <xf numFmtId="3" fontId="8" fillId="4" borderId="14" xfId="0" applyNumberFormat="1" applyFont="1" applyFill="1" applyBorder="1" applyAlignment="1">
      <alignment horizontal="right" vertical="center"/>
    </xf>
    <xf numFmtId="10" fontId="8" fillId="4" borderId="14" xfId="0" applyNumberFormat="1" applyFont="1" applyFill="1" applyBorder="1" applyAlignment="1">
      <alignment horizontal="right" vertical="center"/>
    </xf>
    <xf numFmtId="168" fontId="6" fillId="2" borderId="4" xfId="0" applyNumberFormat="1" applyFont="1" applyFill="1" applyBorder="1" applyAlignment="1">
      <alignment horizontal="center" vertical="center" wrapText="1"/>
    </xf>
    <xf numFmtId="165" fontId="6" fillId="2" borderId="34" xfId="0" applyNumberFormat="1" applyFont="1" applyFill="1" applyBorder="1" applyAlignment="1">
      <alignment horizontal="left" vertical="center"/>
    </xf>
    <xf numFmtId="165" fontId="6" fillId="2" borderId="7" xfId="0" applyNumberFormat="1" applyFont="1" applyFill="1" applyBorder="1" applyAlignment="1">
      <alignment horizontal="left" vertical="center"/>
    </xf>
    <xf numFmtId="165" fontId="6" fillId="2" borderId="35" xfId="0" applyNumberFormat="1" applyFont="1" applyFill="1" applyBorder="1" applyAlignment="1">
      <alignment horizontal="left" vertical="center"/>
    </xf>
    <xf numFmtId="165" fontId="6" fillId="2" borderId="36" xfId="0" applyNumberFormat="1" applyFont="1" applyFill="1" applyBorder="1" applyAlignment="1">
      <alignment horizontal="left" vertical="center"/>
    </xf>
    <xf numFmtId="165" fontId="6" fillId="2" borderId="37" xfId="0" applyNumberFormat="1" applyFont="1" applyFill="1" applyBorder="1" applyAlignment="1">
      <alignment horizontal="left" vertical="center"/>
    </xf>
    <xf numFmtId="165" fontId="6" fillId="2" borderId="38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5" fontId="2" fillId="2" borderId="37" xfId="0" applyNumberFormat="1" applyFont="1" applyFill="1" applyBorder="1" applyAlignment="1">
      <alignment horizontal="left" vertical="center"/>
    </xf>
    <xf numFmtId="165" fontId="2" fillId="2" borderId="38" xfId="0" applyNumberFormat="1" applyFont="1" applyFill="1" applyBorder="1" applyAlignment="1">
      <alignment horizontal="left" vertical="center"/>
    </xf>
    <xf numFmtId="165" fontId="3" fillId="2" borderId="7" xfId="0" applyNumberFormat="1" applyFont="1" applyFill="1" applyBorder="1" applyAlignment="1">
      <alignment horizontal="left" vertical="center"/>
    </xf>
    <xf numFmtId="165" fontId="3" fillId="2" borderId="35" xfId="0" applyNumberFormat="1" applyFont="1" applyFill="1" applyBorder="1" applyAlignment="1">
      <alignment horizontal="left" vertical="center"/>
    </xf>
    <xf numFmtId="165" fontId="6" fillId="2" borderId="31" xfId="0" applyNumberFormat="1" applyFont="1" applyFill="1" applyBorder="1" applyAlignment="1">
      <alignment horizontal="left" vertical="center"/>
    </xf>
    <xf numFmtId="165" fontId="6" fillId="2" borderId="32" xfId="0" applyNumberFormat="1" applyFont="1" applyFill="1" applyBorder="1" applyAlignment="1">
      <alignment horizontal="left" vertical="center"/>
    </xf>
    <xf numFmtId="165" fontId="6" fillId="2" borderId="33" xfId="0" applyNumberFormat="1" applyFont="1" applyFill="1" applyBorder="1" applyAlignment="1">
      <alignment horizontal="left" vertical="center"/>
    </xf>
    <xf numFmtId="165" fontId="2" fillId="2" borderId="2" xfId="0" applyNumberFormat="1" applyFont="1" applyFill="1" applyBorder="1" applyAlignment="1">
      <alignment horizontal="left" vertical="center"/>
    </xf>
    <xf numFmtId="165" fontId="8" fillId="4" borderId="14" xfId="0" applyNumberFormat="1" applyFont="1" applyFill="1" applyBorder="1" applyAlignment="1">
      <alignment horizontal="left" vertical="center" wrapText="1"/>
    </xf>
    <xf numFmtId="165" fontId="8" fillId="4" borderId="16" xfId="0" applyNumberFormat="1" applyFont="1" applyFill="1" applyBorder="1" applyAlignment="1">
      <alignment horizontal="left" vertical="center" wrapText="1"/>
    </xf>
    <xf numFmtId="15" fontId="9" fillId="4" borderId="14" xfId="0" applyNumberFormat="1" applyFont="1" applyFill="1" applyBorder="1" applyAlignment="1">
      <alignment horizontal="left" vertical="center" wrapText="1"/>
    </xf>
    <xf numFmtId="15" fontId="9" fillId="4" borderId="16" xfId="0" applyNumberFormat="1" applyFont="1" applyFill="1" applyBorder="1" applyAlignment="1">
      <alignment horizontal="left" vertical="center" wrapText="1"/>
    </xf>
    <xf numFmtId="165" fontId="8" fillId="4" borderId="8" xfId="0" applyNumberFormat="1" applyFont="1" applyFill="1" applyBorder="1" applyAlignment="1">
      <alignment vertical="center"/>
    </xf>
    <xf numFmtId="0" fontId="5" fillId="0" borderId="11" xfId="0" applyFont="1" applyBorder="1"/>
    <xf numFmtId="0" fontId="8" fillId="0" borderId="14" xfId="0" applyFont="1" applyBorder="1" applyAlignment="1">
      <alignment horizontal="left" vertical="center" wrapText="1"/>
    </xf>
    <xf numFmtId="0" fontId="5" fillId="0" borderId="15" xfId="0" applyFont="1" applyBorder="1"/>
    <xf numFmtId="165" fontId="7" fillId="3" borderId="18" xfId="0" applyNumberFormat="1" applyFont="1" applyFill="1" applyBorder="1" applyAlignment="1">
      <alignment horizontal="center" vertical="center"/>
    </xf>
    <xf numFmtId="165" fontId="7" fillId="3" borderId="19" xfId="0" applyNumberFormat="1" applyFont="1" applyFill="1" applyBorder="1" applyAlignment="1">
      <alignment horizontal="center" vertical="center"/>
    </xf>
    <xf numFmtId="165" fontId="7" fillId="3" borderId="20" xfId="0" applyNumberFormat="1" applyFont="1" applyFill="1" applyBorder="1" applyAlignment="1">
      <alignment horizontal="center" vertical="center"/>
    </xf>
    <xf numFmtId="165" fontId="7" fillId="3" borderId="21" xfId="0" applyNumberFormat="1" applyFont="1" applyFill="1" applyBorder="1" applyAlignment="1">
      <alignment horizontal="left" vertical="center"/>
    </xf>
    <xf numFmtId="165" fontId="7" fillId="3" borderId="22" xfId="0" applyNumberFormat="1" applyFont="1" applyFill="1" applyBorder="1" applyAlignment="1">
      <alignment horizontal="left" vertical="center"/>
    </xf>
    <xf numFmtId="165" fontId="7" fillId="3" borderId="23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5" fillId="0" borderId="3" xfId="0" applyFont="1" applyBorder="1"/>
    <xf numFmtId="0" fontId="2" fillId="5" borderId="0" xfId="0" applyFont="1" applyFill="1" applyBorder="1" applyAlignment="1">
      <alignment horizontal="center"/>
    </xf>
    <xf numFmtId="0" fontId="5" fillId="0" borderId="0" xfId="0" applyFont="1" applyBorder="1"/>
    <xf numFmtId="168" fontId="8" fillId="4" borderId="14" xfId="0" applyNumberFormat="1" applyFont="1" applyFill="1" applyBorder="1" applyAlignment="1">
      <alignment horizontal="right" vertical="center"/>
    </xf>
    <xf numFmtId="168" fontId="8" fillId="4" borderId="15" xfId="0" applyNumberFormat="1" applyFont="1" applyFill="1" applyBorder="1" applyAlignment="1">
      <alignment horizontal="right" vertical="center"/>
    </xf>
    <xf numFmtId="0" fontId="8" fillId="0" borderId="17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4" borderId="30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167" fontId="8" fillId="0" borderId="25" xfId="0" applyNumberFormat="1" applyFont="1" applyBorder="1" applyAlignment="1">
      <alignment horizontal="center" vertical="center"/>
    </xf>
    <xf numFmtId="167" fontId="8" fillId="0" borderId="28" xfId="0" applyNumberFormat="1" applyFont="1" applyBorder="1" applyAlignment="1">
      <alignment horizontal="center" vertical="center"/>
    </xf>
    <xf numFmtId="3" fontId="8" fillId="4" borderId="14" xfId="0" applyNumberFormat="1" applyFont="1" applyFill="1" applyBorder="1" applyAlignment="1">
      <alignment horizontal="right" vertical="center"/>
    </xf>
    <xf numFmtId="3" fontId="8" fillId="4" borderId="15" xfId="0" applyNumberFormat="1" applyFont="1" applyFill="1" applyBorder="1" applyAlignment="1">
      <alignment horizontal="right" vertical="center"/>
    </xf>
    <xf numFmtId="10" fontId="8" fillId="4" borderId="14" xfId="0" applyNumberFormat="1" applyFont="1" applyFill="1" applyBorder="1" applyAlignment="1">
      <alignment horizontal="right" vertical="center"/>
    </xf>
    <xf numFmtId="10" fontId="8" fillId="4" borderId="15" xfId="0" applyNumberFormat="1" applyFont="1" applyFill="1" applyBorder="1" applyAlignment="1">
      <alignment horizontal="right" vertical="center"/>
    </xf>
    <xf numFmtId="1" fontId="8" fillId="0" borderId="14" xfId="0" applyNumberFormat="1" applyFont="1" applyBorder="1" applyAlignment="1">
      <alignment horizontal="right" vertical="center"/>
    </xf>
    <xf numFmtId="1" fontId="8" fillId="0" borderId="15" xfId="0" applyNumberFormat="1" applyFont="1" applyBorder="1" applyAlignment="1">
      <alignment horizontal="right" vertical="center"/>
    </xf>
    <xf numFmtId="0" fontId="10" fillId="6" borderId="2" xfId="0" applyFont="1" applyFill="1" applyBorder="1" applyAlignment="1">
      <alignment horizontal="center"/>
    </xf>
    <xf numFmtId="0" fontId="5" fillId="0" borderId="6" xfId="0" applyFont="1" applyBorder="1"/>
    <xf numFmtId="0" fontId="10" fillId="7" borderId="2" xfId="0" applyFont="1" applyFill="1" applyBorder="1" applyAlignment="1">
      <alignment horizontal="center"/>
    </xf>
    <xf numFmtId="165" fontId="18" fillId="2" borderId="42" xfId="0" applyNumberFormat="1" applyFont="1" applyFill="1" applyBorder="1" applyAlignment="1">
      <alignment horizontal="left" vertical="center"/>
    </xf>
    <xf numFmtId="165" fontId="19" fillId="2" borderId="43" xfId="0" applyNumberFormat="1" applyFont="1" applyFill="1" applyBorder="1" applyAlignment="1">
      <alignment horizontal="left" vertical="center"/>
    </xf>
    <xf numFmtId="0" fontId="20" fillId="0" borderId="0" xfId="0" applyFont="1"/>
    <xf numFmtId="165" fontId="18" fillId="2" borderId="44" xfId="0" applyNumberFormat="1" applyFont="1" applyFill="1" applyBorder="1" applyAlignment="1">
      <alignment horizontal="left" vertical="center"/>
    </xf>
    <xf numFmtId="165" fontId="18" fillId="2" borderId="45" xfId="0" applyNumberFormat="1" applyFont="1" applyFill="1" applyBorder="1" applyAlignment="1">
      <alignment horizontal="left" vertical="center"/>
    </xf>
    <xf numFmtId="165" fontId="18" fillId="2" borderId="46" xfId="0" applyNumberFormat="1" applyFont="1" applyFill="1" applyBorder="1" applyAlignment="1">
      <alignment horizontal="left" vertical="center"/>
    </xf>
    <xf numFmtId="165" fontId="18" fillId="2" borderId="47" xfId="0" applyNumberFormat="1" applyFont="1" applyFill="1" applyBorder="1" applyAlignment="1">
      <alignment horizontal="left" vertical="center"/>
    </xf>
    <xf numFmtId="165" fontId="18" fillId="2" borderId="1" xfId="0" applyNumberFormat="1" applyFont="1" applyFill="1" applyBorder="1" applyAlignment="1">
      <alignment horizontal="left" vertical="center"/>
    </xf>
    <xf numFmtId="0" fontId="20" fillId="0" borderId="48" xfId="0" applyFont="1" applyBorder="1"/>
    <xf numFmtId="16" fontId="20" fillId="0" borderId="48" xfId="0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5" xfId="0" applyFont="1" applyBorder="1"/>
    <xf numFmtId="17" fontId="20" fillId="0" borderId="45" xfId="0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9" xfId="0" applyFont="1" applyBorder="1"/>
    <xf numFmtId="0" fontId="20" fillId="0" borderId="49" xfId="0" applyFont="1" applyBorder="1" applyAlignment="1">
      <alignment horizontal="center" vertical="center"/>
    </xf>
    <xf numFmtId="0" fontId="20" fillId="0" borderId="45" xfId="0" applyFont="1" applyFill="1" applyBorder="1"/>
    <xf numFmtId="0" fontId="20" fillId="0" borderId="45" xfId="0" applyFont="1" applyFill="1" applyBorder="1" applyAlignment="1">
      <alignment horizontal="center" vertical="center"/>
    </xf>
    <xf numFmtId="0" fontId="20" fillId="0" borderId="50" xfId="0" applyFont="1" applyFill="1" applyBorder="1"/>
    <xf numFmtId="0" fontId="20" fillId="0" borderId="50" xfId="0" applyFont="1" applyFill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65" fontId="18" fillId="2" borderId="51" xfId="0" applyNumberFormat="1" applyFont="1" applyFill="1" applyBorder="1" applyAlignment="1">
      <alignment horizontal="center" vertical="center"/>
    </xf>
    <xf numFmtId="0" fontId="21" fillId="0" borderId="52" xfId="0" applyFont="1" applyBorder="1" applyAlignment="1">
      <alignment horizontal="left" vertical="center"/>
    </xf>
    <xf numFmtId="0" fontId="20" fillId="0" borderId="53" xfId="0" applyFont="1" applyBorder="1" applyAlignment="1">
      <alignment horizontal="center" vertical="center"/>
    </xf>
    <xf numFmtId="0" fontId="21" fillId="0" borderId="45" xfId="0" applyFont="1" applyBorder="1" applyAlignment="1">
      <alignment horizontal="left" vertical="center"/>
    </xf>
    <xf numFmtId="0" fontId="20" fillId="0" borderId="54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0" xfId="0" applyFont="1" applyBorder="1" applyAlignment="1">
      <alignment horizontal="left" vertical="center"/>
    </xf>
    <xf numFmtId="0" fontId="21" fillId="0" borderId="55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0" fillId="0" borderId="7" xfId="0" applyFill="1" applyBorder="1"/>
    <xf numFmtId="170" fontId="0" fillId="0" borderId="35" xfId="0" applyNumberFormat="1" applyBorder="1" applyAlignment="1">
      <alignment horizontal="right"/>
    </xf>
    <xf numFmtId="0" fontId="2" fillId="3" borderId="9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</cellXfs>
  <cellStyles count="2">
    <cellStyle name="Comma 4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4</xdr:col>
      <xdr:colOff>2136245</xdr:colOff>
      <xdr:row>28</xdr:row>
      <xdr:rowOff>200906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13714"/>
          <a:ext cx="9613450" cy="1836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0</xdr:rowOff>
    </xdr:from>
    <xdr:to>
      <xdr:col>3</xdr:col>
      <xdr:colOff>1367521</xdr:colOff>
      <xdr:row>72</xdr:row>
      <xdr:rowOff>122465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46536"/>
          <a:ext cx="9613450" cy="18369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0</xdr:rowOff>
    </xdr:from>
    <xdr:to>
      <xdr:col>3</xdr:col>
      <xdr:colOff>884921</xdr:colOff>
      <xdr:row>73</xdr:row>
      <xdr:rowOff>185965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7EA60-BA9E-1342-8A5F-881CCD04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70600"/>
          <a:ext cx="9597121" cy="18115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3</xdr:col>
      <xdr:colOff>884921</xdr:colOff>
      <xdr:row>56</xdr:row>
      <xdr:rowOff>122465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550B0-5518-4949-9BA4-2E4E62DB7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20800"/>
          <a:ext cx="9597121" cy="18115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79</xdr:row>
      <xdr:rowOff>0</xdr:rowOff>
    </xdr:from>
    <xdr:to>
      <xdr:col>6</xdr:col>
      <xdr:colOff>254000</xdr:colOff>
      <xdr:row>87</xdr:row>
      <xdr:rowOff>143087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B6938-0B2D-C44D-8924-E5CE23BF0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80200"/>
          <a:ext cx="9245600" cy="17686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8</xdr:col>
      <xdr:colOff>396009</xdr:colOff>
      <xdr:row>23</xdr:row>
      <xdr:rowOff>135005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F2B41-435B-9940-91ED-EAF6F11E6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70300"/>
          <a:ext cx="9222509" cy="1760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tabSelected="1" zoomScaleNormal="100" workbookViewId="0"/>
  </sheetViews>
  <sheetFormatPr baseColWidth="10" defaultColWidth="31" defaultRowHeight="16"/>
  <cols>
    <col min="1" max="1" width="28.83203125" bestFit="1" customWidth="1"/>
    <col min="2" max="2" width="38.6640625" customWidth="1"/>
    <col min="3" max="3" width="25.6640625" customWidth="1"/>
    <col min="4" max="4" width="4.6640625" customWidth="1"/>
  </cols>
  <sheetData>
    <row r="1" spans="1:4" ht="19">
      <c r="A1" s="138" t="s">
        <v>3</v>
      </c>
      <c r="B1" s="163" t="s">
        <v>603</v>
      </c>
      <c r="C1" s="164"/>
    </row>
    <row r="2" spans="1:4" ht="19">
      <c r="A2" s="139" t="s">
        <v>4</v>
      </c>
      <c r="B2" s="167" t="s">
        <v>593</v>
      </c>
      <c r="C2" s="168"/>
    </row>
    <row r="3" spans="1:4" ht="20" thickBot="1">
      <c r="A3" s="140" t="s">
        <v>6</v>
      </c>
      <c r="B3" s="165" t="s">
        <v>555</v>
      </c>
      <c r="C3" s="166"/>
    </row>
    <row r="5" spans="1:4" ht="17" thickBot="1"/>
    <row r="6" spans="1:4" ht="20" thickBot="1">
      <c r="A6" s="148" t="s">
        <v>1</v>
      </c>
      <c r="B6" s="151" t="s">
        <v>600</v>
      </c>
      <c r="C6" s="149" t="s">
        <v>2</v>
      </c>
    </row>
    <row r="7" spans="1:4">
      <c r="A7" s="143" t="s">
        <v>604</v>
      </c>
      <c r="B7" s="146" t="s">
        <v>597</v>
      </c>
      <c r="C7" s="144">
        <v>736500</v>
      </c>
    </row>
    <row r="8" spans="1:4">
      <c r="A8" s="143" t="s">
        <v>605</v>
      </c>
      <c r="B8" s="142" t="s">
        <v>597</v>
      </c>
      <c r="C8" s="144">
        <v>759000</v>
      </c>
    </row>
    <row r="9" spans="1:4">
      <c r="A9" s="143" t="s">
        <v>606</v>
      </c>
      <c r="B9" s="142" t="s">
        <v>597</v>
      </c>
      <c r="C9" s="144">
        <v>415000</v>
      </c>
    </row>
    <row r="10" spans="1:4">
      <c r="A10" s="141" t="s">
        <v>686</v>
      </c>
      <c r="B10" s="142" t="s">
        <v>597</v>
      </c>
      <c r="C10" s="247" t="s">
        <v>39</v>
      </c>
    </row>
    <row r="11" spans="1:4">
      <c r="A11" s="246" t="s">
        <v>610</v>
      </c>
      <c r="B11" s="142" t="s">
        <v>597</v>
      </c>
      <c r="C11" s="247" t="s">
        <v>39</v>
      </c>
    </row>
    <row r="12" spans="1:4">
      <c r="A12" s="150" t="s">
        <v>599</v>
      </c>
      <c r="C12" s="144">
        <v>600000</v>
      </c>
    </row>
    <row r="13" spans="1:4">
      <c r="A13" s="145" t="s">
        <v>598</v>
      </c>
      <c r="B13" s="141"/>
      <c r="C13" s="144">
        <f>SUM(C7:C12)</f>
        <v>2510500</v>
      </c>
    </row>
    <row r="14" spans="1:4" ht="17" thickBot="1">
      <c r="A14" s="135"/>
      <c r="B14" s="136"/>
      <c r="C14" s="137"/>
    </row>
    <row r="15" spans="1:4" ht="20" thickBot="1">
      <c r="A15" s="147" t="s">
        <v>586</v>
      </c>
      <c r="B15" s="169" t="s">
        <v>587</v>
      </c>
      <c r="C15" s="170"/>
      <c r="D15" s="171"/>
    </row>
    <row r="16" spans="1:4" ht="22.5" customHeight="1">
      <c r="B16" s="157" t="s">
        <v>588</v>
      </c>
      <c r="C16" s="158"/>
      <c r="D16" s="159"/>
    </row>
    <row r="17" spans="2:4" ht="19">
      <c r="B17" s="157" t="s">
        <v>594</v>
      </c>
      <c r="C17" s="158"/>
      <c r="D17" s="159"/>
    </row>
    <row r="18" spans="2:4" ht="19">
      <c r="B18" s="157" t="s">
        <v>595</v>
      </c>
      <c r="C18" s="158"/>
      <c r="D18" s="159"/>
    </row>
    <row r="19" spans="2:4" ht="20" thickBot="1">
      <c r="B19" s="160" t="s">
        <v>596</v>
      </c>
      <c r="C19" s="161"/>
      <c r="D19" s="162"/>
    </row>
  </sheetData>
  <mergeCells count="8">
    <mergeCell ref="B18:D18"/>
    <mergeCell ref="B19:D19"/>
    <mergeCell ref="B1:C1"/>
    <mergeCell ref="B3:C3"/>
    <mergeCell ref="B2:C2"/>
    <mergeCell ref="B15:D15"/>
    <mergeCell ref="B16:D16"/>
    <mergeCell ref="B17:D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"/>
  <sheetViews>
    <sheetView showGridLines="0" topLeftCell="A61" zoomScaleNormal="100" workbookViewId="0"/>
  </sheetViews>
  <sheetFormatPr baseColWidth="10" defaultColWidth="11" defaultRowHeight="16"/>
  <cols>
    <col min="1" max="1" width="29.33203125" bestFit="1" customWidth="1"/>
    <col min="2" max="2" width="58.83203125" bestFit="1" customWidth="1"/>
    <col min="3" max="3" width="19.83203125" bestFit="1" customWidth="1"/>
    <col min="4" max="4" width="18.1640625" bestFit="1" customWidth="1"/>
    <col min="7" max="7" width="13.5" bestFit="1" customWidth="1"/>
    <col min="10" max="10" width="14.83203125" customWidth="1"/>
    <col min="11" max="11" width="15.33203125" style="121" bestFit="1" customWidth="1"/>
  </cols>
  <sheetData>
    <row r="1" spans="1:11" ht="19">
      <c r="A1" s="1" t="s">
        <v>3</v>
      </c>
      <c r="B1" s="163" t="s">
        <v>601</v>
      </c>
      <c r="C1" s="164"/>
      <c r="D1" s="2"/>
    </row>
    <row r="2" spans="1:11" ht="19">
      <c r="A2" s="1" t="s">
        <v>4</v>
      </c>
      <c r="B2" s="115" t="s">
        <v>593</v>
      </c>
      <c r="C2" s="116"/>
      <c r="D2" s="2"/>
    </row>
    <row r="3" spans="1:11" ht="19">
      <c r="A3" s="1" t="s">
        <v>5</v>
      </c>
      <c r="B3" s="163" t="s">
        <v>608</v>
      </c>
      <c r="C3" s="164"/>
      <c r="D3" s="2"/>
    </row>
    <row r="4" spans="1:11" ht="19">
      <c r="A4" s="3" t="s">
        <v>6</v>
      </c>
      <c r="B4" s="172" t="s">
        <v>8</v>
      </c>
      <c r="C4" s="164"/>
      <c r="D4" s="2"/>
    </row>
    <row r="5" spans="1:11" ht="19">
      <c r="A5" s="4"/>
      <c r="B5" s="5"/>
      <c r="C5" s="6"/>
      <c r="D5" s="7"/>
    </row>
    <row r="6" spans="1:11" ht="80">
      <c r="A6" s="31" t="s">
        <v>9</v>
      </c>
      <c r="B6" s="32" t="s">
        <v>10</v>
      </c>
      <c r="C6" s="32" t="s">
        <v>11</v>
      </c>
      <c r="D6" s="32" t="s">
        <v>12</v>
      </c>
      <c r="E6" s="32" t="s">
        <v>556</v>
      </c>
      <c r="F6" s="33" t="s">
        <v>557</v>
      </c>
      <c r="G6" s="34" t="s">
        <v>558</v>
      </c>
      <c r="H6" s="34" t="s">
        <v>559</v>
      </c>
      <c r="I6" s="35" t="s">
        <v>560</v>
      </c>
      <c r="J6" s="34" t="s">
        <v>561</v>
      </c>
      <c r="K6" s="156" t="s">
        <v>562</v>
      </c>
    </row>
    <row r="7" spans="1:11" ht="20">
      <c r="A7" s="36" t="s">
        <v>13</v>
      </c>
      <c r="B7" s="37"/>
      <c r="C7" s="38"/>
      <c r="D7" s="39"/>
      <c r="E7" s="37"/>
      <c r="F7" s="40"/>
      <c r="G7" s="41"/>
      <c r="H7" s="41"/>
      <c r="I7" s="41"/>
      <c r="J7" s="37"/>
      <c r="K7" s="122"/>
    </row>
    <row r="8" spans="1:11" ht="19">
      <c r="A8" s="42" t="s">
        <v>14</v>
      </c>
      <c r="B8" s="43"/>
      <c r="C8" s="43"/>
      <c r="D8" s="43"/>
      <c r="E8" s="43"/>
      <c r="F8" s="43"/>
      <c r="G8" s="43"/>
      <c r="H8" s="43"/>
      <c r="I8" s="43"/>
      <c r="J8" s="43"/>
      <c r="K8" s="123"/>
    </row>
    <row r="9" spans="1:11" ht="19">
      <c r="A9" s="44" t="s">
        <v>15</v>
      </c>
      <c r="B9" s="45" t="s">
        <v>16</v>
      </c>
      <c r="C9" s="46" t="s">
        <v>17</v>
      </c>
      <c r="D9" s="47" t="s">
        <v>18</v>
      </c>
      <c r="E9" s="47" t="s">
        <v>563</v>
      </c>
      <c r="F9" s="48">
        <v>190</v>
      </c>
      <c r="G9" s="49">
        <v>15000</v>
      </c>
      <c r="H9" s="49">
        <f>I9*G9</f>
        <v>2250</v>
      </c>
      <c r="I9" s="50">
        <v>0.15</v>
      </c>
      <c r="J9" s="51">
        <f>H9*3%</f>
        <v>67.5</v>
      </c>
      <c r="K9" s="48">
        <f>F9*H9</f>
        <v>427500</v>
      </c>
    </row>
    <row r="10" spans="1:11" ht="20">
      <c r="A10" s="44" t="s">
        <v>19</v>
      </c>
      <c r="B10" s="52" t="s">
        <v>20</v>
      </c>
      <c r="C10" s="46" t="s">
        <v>21</v>
      </c>
      <c r="D10" s="47" t="s">
        <v>22</v>
      </c>
      <c r="E10" s="47" t="s">
        <v>563</v>
      </c>
      <c r="F10" s="48">
        <v>5</v>
      </c>
      <c r="G10" s="49">
        <v>1500000</v>
      </c>
      <c r="H10" s="49">
        <f t="shared" ref="H10" si="0">I10*G10</f>
        <v>7500</v>
      </c>
      <c r="I10" s="50">
        <v>5.0000000000000001E-3</v>
      </c>
      <c r="J10" s="51">
        <f>H10*(0.2%)</f>
        <v>15</v>
      </c>
      <c r="K10" s="48">
        <f t="shared" ref="K10:K11" si="1">H10*F10</f>
        <v>37500</v>
      </c>
    </row>
    <row r="11" spans="1:11" ht="19">
      <c r="A11" s="44" t="s">
        <v>23</v>
      </c>
      <c r="B11" s="45" t="s">
        <v>24</v>
      </c>
      <c r="C11" s="46" t="s">
        <v>25</v>
      </c>
      <c r="D11" s="47" t="s">
        <v>26</v>
      </c>
      <c r="E11" s="47" t="s">
        <v>563</v>
      </c>
      <c r="F11" s="48">
        <v>5</v>
      </c>
      <c r="G11" s="49">
        <v>1500000</v>
      </c>
      <c r="H11" s="49">
        <f>G11*I11</f>
        <v>7500</v>
      </c>
      <c r="I11" s="50">
        <v>5.0000000000000001E-3</v>
      </c>
      <c r="J11" s="51">
        <f>H11*0.2%</f>
        <v>15</v>
      </c>
      <c r="K11" s="48">
        <f t="shared" si="1"/>
        <v>37500</v>
      </c>
    </row>
    <row r="12" spans="1:11" ht="40">
      <c r="A12" s="44" t="s">
        <v>27</v>
      </c>
      <c r="B12" s="45" t="s">
        <v>28</v>
      </c>
      <c r="C12" s="46" t="s">
        <v>29</v>
      </c>
      <c r="D12" s="53" t="s">
        <v>30</v>
      </c>
      <c r="E12" s="47" t="s">
        <v>563</v>
      </c>
      <c r="F12" s="48">
        <v>8</v>
      </c>
      <c r="G12" s="49">
        <f>G9*100</f>
        <v>1500000</v>
      </c>
      <c r="H12" s="49">
        <f>G12*I12</f>
        <v>11250</v>
      </c>
      <c r="I12" s="50">
        <v>7.4999999999999997E-3</v>
      </c>
      <c r="J12" s="51">
        <f>H12*0.2%</f>
        <v>22.5</v>
      </c>
      <c r="K12" s="48">
        <f>H12*F12</f>
        <v>90000</v>
      </c>
    </row>
    <row r="13" spans="1:11" ht="20">
      <c r="A13" s="54" t="s">
        <v>31</v>
      </c>
      <c r="B13" s="55"/>
      <c r="C13" s="55"/>
      <c r="D13" s="55"/>
      <c r="E13" s="55"/>
      <c r="F13" s="55"/>
      <c r="G13" s="55"/>
      <c r="H13" s="55"/>
      <c r="I13" s="55"/>
      <c r="J13" s="55"/>
      <c r="K13" s="124"/>
    </row>
    <row r="14" spans="1:11" ht="19">
      <c r="A14" s="8" t="s">
        <v>32</v>
      </c>
      <c r="B14" s="45" t="s">
        <v>16</v>
      </c>
      <c r="C14" s="46" t="s">
        <v>17</v>
      </c>
      <c r="D14" s="47" t="s">
        <v>18</v>
      </c>
      <c r="E14" s="47" t="s">
        <v>563</v>
      </c>
      <c r="F14" s="48">
        <v>80</v>
      </c>
      <c r="G14" s="49">
        <v>0</v>
      </c>
      <c r="H14" s="49">
        <f>I14*G14</f>
        <v>0</v>
      </c>
      <c r="I14" s="50">
        <v>0.15</v>
      </c>
      <c r="J14" s="51">
        <f>H14*3%</f>
        <v>0</v>
      </c>
      <c r="K14" s="48">
        <f>F14*H14</f>
        <v>0</v>
      </c>
    </row>
    <row r="15" spans="1:11" ht="20">
      <c r="A15" s="56" t="s">
        <v>33</v>
      </c>
      <c r="B15" s="57"/>
      <c r="C15" s="58"/>
      <c r="D15" s="59"/>
      <c r="E15" s="59"/>
      <c r="F15" s="60"/>
      <c r="G15" s="61"/>
      <c r="H15" s="61"/>
      <c r="I15" s="62"/>
      <c r="J15" s="61"/>
      <c r="K15" s="125"/>
    </row>
    <row r="16" spans="1:11" ht="60">
      <c r="A16" s="177" t="s">
        <v>34</v>
      </c>
      <c r="B16" s="179" t="s">
        <v>35</v>
      </c>
      <c r="C16" s="63" t="s">
        <v>36</v>
      </c>
      <c r="D16" s="47" t="s">
        <v>37</v>
      </c>
      <c r="E16" s="47" t="s">
        <v>564</v>
      </c>
      <c r="F16" s="48">
        <v>2500</v>
      </c>
      <c r="G16" s="64">
        <v>0</v>
      </c>
      <c r="H16" s="64">
        <f t="shared" ref="H16:H17" si="2">G16*I16</f>
        <v>0</v>
      </c>
      <c r="I16" s="65">
        <v>0.01</v>
      </c>
      <c r="J16" s="51">
        <f>H16*3%</f>
        <v>0</v>
      </c>
      <c r="K16" s="126">
        <f>J16*F16</f>
        <v>0</v>
      </c>
    </row>
    <row r="17" spans="1:11" ht="19">
      <c r="A17" s="178"/>
      <c r="B17" s="180"/>
      <c r="C17" s="46" t="s">
        <v>38</v>
      </c>
      <c r="D17" s="47" t="s">
        <v>37</v>
      </c>
      <c r="E17" s="47" t="s">
        <v>565</v>
      </c>
      <c r="F17" s="48">
        <v>250</v>
      </c>
      <c r="G17" s="64">
        <v>0</v>
      </c>
      <c r="H17" s="64">
        <f t="shared" si="2"/>
        <v>0</v>
      </c>
      <c r="I17" s="65">
        <v>3.0000000000000001E-3</v>
      </c>
      <c r="J17" s="50" t="s">
        <v>39</v>
      </c>
      <c r="K17" s="126">
        <f>H17*F17</f>
        <v>0</v>
      </c>
    </row>
    <row r="18" spans="1:11" ht="20">
      <c r="A18" s="36" t="s">
        <v>40</v>
      </c>
      <c r="B18" s="66"/>
      <c r="C18" s="66"/>
      <c r="D18" s="67"/>
      <c r="E18" s="68"/>
      <c r="F18" s="69"/>
      <c r="G18" s="70"/>
      <c r="H18" s="70"/>
      <c r="I18" s="70"/>
      <c r="J18" s="68"/>
      <c r="K18" s="127"/>
    </row>
    <row r="19" spans="1:11" ht="40">
      <c r="A19" s="71" t="s">
        <v>41</v>
      </c>
      <c r="B19" s="63" t="s">
        <v>42</v>
      </c>
      <c r="C19" s="63" t="s">
        <v>43</v>
      </c>
      <c r="D19" s="72" t="s">
        <v>37</v>
      </c>
      <c r="E19" s="73" t="s">
        <v>566</v>
      </c>
      <c r="F19" s="74">
        <v>3</v>
      </c>
      <c r="G19" s="64" t="s">
        <v>39</v>
      </c>
      <c r="H19" s="64" t="s">
        <v>39</v>
      </c>
      <c r="I19" s="65" t="s">
        <v>39</v>
      </c>
      <c r="J19" s="64">
        <v>0</v>
      </c>
      <c r="K19" s="126">
        <f>J19*F19</f>
        <v>0</v>
      </c>
    </row>
    <row r="20" spans="1:11" ht="20">
      <c r="A20" s="54" t="s">
        <v>44</v>
      </c>
      <c r="B20" s="75"/>
      <c r="C20" s="66"/>
      <c r="D20" s="67"/>
      <c r="E20" s="67"/>
      <c r="F20" s="76"/>
      <c r="G20" s="77"/>
      <c r="H20" s="77"/>
      <c r="I20" s="78"/>
      <c r="J20" s="77"/>
      <c r="K20" s="128"/>
    </row>
    <row r="21" spans="1:11" ht="40">
      <c r="A21" s="79" t="s">
        <v>45</v>
      </c>
      <c r="B21" s="80" t="s">
        <v>46</v>
      </c>
      <c r="C21" s="81" t="s">
        <v>47</v>
      </c>
      <c r="D21" s="73" t="s">
        <v>48</v>
      </c>
      <c r="E21" s="73" t="s">
        <v>563</v>
      </c>
      <c r="F21" s="74">
        <v>20</v>
      </c>
      <c r="G21" s="82">
        <v>0</v>
      </c>
      <c r="H21" s="82">
        <f t="shared" ref="H21:H22" si="3">I21*G21</f>
        <v>0</v>
      </c>
      <c r="I21" s="83">
        <v>1.8E-3</v>
      </c>
      <c r="J21" s="51">
        <f>H21*(0.5%)</f>
        <v>0</v>
      </c>
      <c r="K21" s="129">
        <f>F21*H21</f>
        <v>0</v>
      </c>
    </row>
    <row r="22" spans="1:11" ht="20">
      <c r="A22" s="79" t="s">
        <v>567</v>
      </c>
      <c r="B22" s="45" t="s">
        <v>568</v>
      </c>
      <c r="C22" s="46" t="s">
        <v>49</v>
      </c>
      <c r="D22" s="84" t="s">
        <v>37</v>
      </c>
      <c r="E22" s="53" t="s">
        <v>563</v>
      </c>
      <c r="F22" s="85" t="s">
        <v>569</v>
      </c>
      <c r="G22" s="82">
        <v>0</v>
      </c>
      <c r="H22" s="86">
        <f t="shared" si="3"/>
        <v>0</v>
      </c>
      <c r="I22" s="65">
        <v>3.5000000000000003E-2</v>
      </c>
      <c r="J22" s="64">
        <f>H22*0.3%</f>
        <v>0</v>
      </c>
      <c r="K22" s="129">
        <f>15*H22</f>
        <v>0</v>
      </c>
    </row>
    <row r="23" spans="1:11" ht="20">
      <c r="A23" s="54" t="s">
        <v>589</v>
      </c>
      <c r="B23" s="75"/>
      <c r="C23" s="66"/>
      <c r="D23" s="67"/>
      <c r="E23" s="67"/>
      <c r="F23" s="76"/>
      <c r="G23" s="77"/>
      <c r="H23" s="77"/>
      <c r="I23" s="78"/>
      <c r="J23" s="77"/>
      <c r="K23" s="128"/>
    </row>
    <row r="24" spans="1:11" ht="37.5" customHeight="1">
      <c r="A24" s="117" t="s">
        <v>589</v>
      </c>
      <c r="B24" s="197" t="s">
        <v>590</v>
      </c>
      <c r="C24" s="199" t="s">
        <v>591</v>
      </c>
      <c r="D24" s="199" t="s">
        <v>37</v>
      </c>
      <c r="E24" s="118" t="s">
        <v>563</v>
      </c>
      <c r="F24" s="202">
        <v>20</v>
      </c>
      <c r="G24" s="204">
        <v>0</v>
      </c>
      <c r="H24" s="204">
        <f t="shared" ref="H24" si="4">G24*I24</f>
        <v>0</v>
      </c>
      <c r="I24" s="206">
        <v>7.0000000000000001E-3</v>
      </c>
      <c r="J24" s="208">
        <f>H24*0.7%</f>
        <v>0</v>
      </c>
      <c r="K24" s="195">
        <f>F24*H24</f>
        <v>0</v>
      </c>
    </row>
    <row r="25" spans="1:11" ht="19">
      <c r="A25" s="119"/>
      <c r="B25" s="198"/>
      <c r="C25" s="200"/>
      <c r="D25" s="201"/>
      <c r="E25" s="120"/>
      <c r="F25" s="203"/>
      <c r="G25" s="205"/>
      <c r="H25" s="205"/>
      <c r="I25" s="207"/>
      <c r="J25" s="209"/>
      <c r="K25" s="196"/>
    </row>
    <row r="26" spans="1:11" ht="20">
      <c r="A26" s="36" t="s">
        <v>50</v>
      </c>
      <c r="B26" s="38"/>
      <c r="C26" s="38"/>
      <c r="D26" s="39"/>
      <c r="E26" s="37"/>
      <c r="F26" s="40"/>
      <c r="G26" s="41"/>
      <c r="H26" s="41"/>
      <c r="I26" s="41"/>
      <c r="J26" s="37"/>
      <c r="K26" s="122"/>
    </row>
    <row r="27" spans="1:11" ht="20">
      <c r="A27" s="173" t="s">
        <v>51</v>
      </c>
      <c r="B27" s="175" t="s">
        <v>52</v>
      </c>
      <c r="C27" s="87" t="s">
        <v>53</v>
      </c>
      <c r="D27" s="189" t="s">
        <v>37</v>
      </c>
      <c r="E27" s="88" t="s">
        <v>563</v>
      </c>
      <c r="F27" s="74">
        <v>10</v>
      </c>
      <c r="G27" s="64">
        <v>0</v>
      </c>
      <c r="H27" s="64">
        <f t="shared" ref="H27:H29" si="5">G27*I27</f>
        <v>0</v>
      </c>
      <c r="I27" s="65">
        <v>0.02</v>
      </c>
      <c r="J27" s="64">
        <f>H27*0.75</f>
        <v>0</v>
      </c>
      <c r="K27" s="130">
        <f>F27*H27</f>
        <v>0</v>
      </c>
    </row>
    <row r="28" spans="1:11" ht="20">
      <c r="A28" s="174"/>
      <c r="B28" s="176"/>
      <c r="C28" s="89" t="s">
        <v>54</v>
      </c>
      <c r="D28" s="190"/>
      <c r="E28" s="90" t="s">
        <v>570</v>
      </c>
      <c r="F28" s="91">
        <v>800</v>
      </c>
      <c r="G28" s="92">
        <v>200000</v>
      </c>
      <c r="H28" s="92">
        <f t="shared" si="5"/>
        <v>6000</v>
      </c>
      <c r="I28" s="93">
        <v>0.03</v>
      </c>
      <c r="J28" s="92">
        <f>H28*3%</f>
        <v>180</v>
      </c>
      <c r="K28" s="131">
        <f>J28*F28</f>
        <v>144000</v>
      </c>
    </row>
    <row r="29" spans="1:11" ht="40">
      <c r="A29" s="29" t="s">
        <v>571</v>
      </c>
      <c r="B29" s="45" t="s">
        <v>572</v>
      </c>
      <c r="C29" s="89" t="s">
        <v>54</v>
      </c>
      <c r="D29" s="30" t="s">
        <v>37</v>
      </c>
      <c r="E29" s="30" t="s">
        <v>570</v>
      </c>
      <c r="F29" s="94">
        <v>500</v>
      </c>
      <c r="G29" s="95">
        <v>0</v>
      </c>
      <c r="H29" s="92">
        <f t="shared" si="5"/>
        <v>0</v>
      </c>
      <c r="I29" s="93">
        <v>0.03</v>
      </c>
      <c r="J29" s="92">
        <f>H29*3%</f>
        <v>0</v>
      </c>
      <c r="K29" s="131">
        <f>J29*F29</f>
        <v>0</v>
      </c>
    </row>
    <row r="30" spans="1:11" ht="40">
      <c r="A30" s="9"/>
      <c r="B30" s="9"/>
      <c r="C30" s="9"/>
      <c r="D30" s="9"/>
      <c r="E30" s="9"/>
      <c r="F30" s="96" t="s">
        <v>573</v>
      </c>
      <c r="G30" s="96" t="s">
        <v>574</v>
      </c>
      <c r="H30" s="9"/>
      <c r="I30" s="9"/>
      <c r="J30" s="9"/>
      <c r="K30" s="132"/>
    </row>
    <row r="31" spans="1:11" ht="20">
      <c r="A31" s="97"/>
      <c r="B31" s="98" t="s">
        <v>55</v>
      </c>
      <c r="C31" s="87" t="s">
        <v>56</v>
      </c>
      <c r="D31" s="84" t="s">
        <v>22</v>
      </c>
      <c r="E31" s="72" t="s">
        <v>575</v>
      </c>
      <c r="F31" s="94">
        <v>0</v>
      </c>
      <c r="G31" s="99">
        <f>K31/2</f>
        <v>0</v>
      </c>
      <c r="H31" s="100"/>
      <c r="I31" s="101"/>
      <c r="J31" s="101"/>
      <c r="K31" s="95">
        <f>F31*30</f>
        <v>0</v>
      </c>
    </row>
    <row r="32" spans="1:11" ht="20">
      <c r="A32" s="97"/>
      <c r="B32" s="80" t="s">
        <v>57</v>
      </c>
      <c r="C32" s="81" t="s">
        <v>56</v>
      </c>
      <c r="D32" s="73" t="s">
        <v>22</v>
      </c>
      <c r="E32" s="102" t="s">
        <v>575</v>
      </c>
      <c r="F32" s="94">
        <v>0</v>
      </c>
      <c r="G32" s="99">
        <f>K32/10</f>
        <v>0</v>
      </c>
      <c r="H32" s="100"/>
      <c r="I32" s="101"/>
      <c r="J32" s="101"/>
      <c r="K32" s="95">
        <f>F32*30</f>
        <v>0</v>
      </c>
    </row>
    <row r="33" spans="1:11" ht="19">
      <c r="A33" s="181" t="s">
        <v>7</v>
      </c>
      <c r="B33" s="182"/>
      <c r="C33" s="182"/>
      <c r="D33" s="182"/>
      <c r="E33" s="182"/>
      <c r="F33" s="183"/>
      <c r="G33" s="103">
        <f>SUM(G9:G32)</f>
        <v>4715000</v>
      </c>
      <c r="H33" s="103">
        <f>SUM(H9:H32)</f>
        <v>34500</v>
      </c>
      <c r="I33" s="103"/>
      <c r="J33" s="103">
        <f>SUM(J9:J32)</f>
        <v>300</v>
      </c>
      <c r="K33" s="133">
        <f>SUM(K9:K32)</f>
        <v>736500</v>
      </c>
    </row>
    <row r="34" spans="1:11" ht="19">
      <c r="A34" s="184" t="s">
        <v>58</v>
      </c>
      <c r="B34" s="185"/>
      <c r="C34" s="185"/>
      <c r="D34" s="185"/>
      <c r="E34" s="185"/>
      <c r="F34" s="185"/>
      <c r="G34" s="185"/>
      <c r="H34" s="185"/>
      <c r="I34" s="185"/>
      <c r="J34" s="185"/>
      <c r="K34" s="186"/>
    </row>
    <row r="35" spans="1:11" ht="19">
      <c r="A35" s="10"/>
      <c r="B35" s="10"/>
      <c r="C35" s="11"/>
      <c r="D35" s="12"/>
      <c r="E35" s="10"/>
      <c r="F35" s="104" t="s">
        <v>576</v>
      </c>
      <c r="G35" s="105"/>
      <c r="H35" s="105"/>
      <c r="I35" s="105"/>
      <c r="J35" s="10"/>
      <c r="K35" s="134"/>
    </row>
    <row r="36" spans="1:11" ht="19">
      <c r="A36" s="187" t="s">
        <v>577</v>
      </c>
      <c r="B36" s="188"/>
      <c r="C36" s="11"/>
      <c r="D36" s="12"/>
      <c r="E36" s="10"/>
      <c r="F36" s="104"/>
      <c r="G36" s="105"/>
      <c r="H36" s="105"/>
      <c r="I36" s="105"/>
      <c r="J36" s="10"/>
      <c r="K36" s="134"/>
    </row>
    <row r="37" spans="1:11" ht="19">
      <c r="A37" s="106" t="s">
        <v>558</v>
      </c>
      <c r="B37" s="107">
        <f>G33</f>
        <v>4715000</v>
      </c>
      <c r="C37" s="11"/>
      <c r="D37" s="12"/>
      <c r="E37" s="10"/>
      <c r="F37" s="104"/>
      <c r="G37" s="105"/>
      <c r="H37" s="105"/>
      <c r="I37" s="105"/>
      <c r="J37" s="10"/>
      <c r="K37" s="134"/>
    </row>
    <row r="38" spans="1:11" ht="19">
      <c r="A38" s="106" t="s">
        <v>559</v>
      </c>
      <c r="B38" s="107">
        <f>H33</f>
        <v>34500</v>
      </c>
      <c r="C38" s="11"/>
      <c r="D38" s="12"/>
      <c r="E38" s="10"/>
      <c r="F38" s="104"/>
      <c r="G38" s="105"/>
      <c r="H38" s="105"/>
      <c r="I38" s="105"/>
      <c r="J38" s="10"/>
      <c r="K38" s="134"/>
    </row>
    <row r="39" spans="1:11" ht="19">
      <c r="A39" s="106" t="s">
        <v>578</v>
      </c>
      <c r="B39" s="108">
        <f>H9+H10+H11+H12+H14+H27</f>
        <v>28500</v>
      </c>
      <c r="C39" s="11"/>
      <c r="D39" s="12"/>
      <c r="E39" s="10"/>
      <c r="F39" s="104"/>
      <c r="G39" s="105"/>
      <c r="H39" s="105"/>
      <c r="I39" s="105"/>
      <c r="J39" s="10"/>
      <c r="K39" s="134"/>
    </row>
    <row r="40" spans="1:11" ht="19">
      <c r="A40" s="106" t="s">
        <v>579</v>
      </c>
      <c r="B40" s="108">
        <f>G32</f>
        <v>0</v>
      </c>
      <c r="C40" s="11"/>
      <c r="D40" s="12"/>
      <c r="E40" s="10"/>
      <c r="F40" s="104"/>
      <c r="G40" s="105"/>
      <c r="H40" s="105"/>
      <c r="I40" s="105"/>
      <c r="J40" s="10"/>
      <c r="K40" s="134"/>
    </row>
    <row r="41" spans="1:11" ht="19">
      <c r="A41" s="106" t="s">
        <v>580</v>
      </c>
      <c r="B41" s="108">
        <f>G31</f>
        <v>0</v>
      </c>
      <c r="C41" s="11"/>
      <c r="D41" s="12"/>
      <c r="E41" s="10"/>
      <c r="F41" s="104"/>
      <c r="G41" s="105"/>
      <c r="H41" s="105"/>
      <c r="I41" s="105"/>
      <c r="J41" s="10"/>
      <c r="K41" s="134"/>
    </row>
    <row r="42" spans="1:11" ht="19">
      <c r="A42" s="106" t="s">
        <v>581</v>
      </c>
      <c r="B42" s="107">
        <f>SUM(J19)</f>
        <v>0</v>
      </c>
      <c r="C42" s="11"/>
      <c r="D42" s="12"/>
      <c r="E42" s="10"/>
      <c r="F42" s="104"/>
      <c r="G42" s="105"/>
      <c r="H42" s="2"/>
      <c r="I42" s="105"/>
      <c r="J42" s="10"/>
      <c r="K42" s="134"/>
    </row>
    <row r="43" spans="1:11" ht="19">
      <c r="A43" s="106" t="s">
        <v>582</v>
      </c>
      <c r="B43" s="107">
        <f>SUM(J9:J12)</f>
        <v>120</v>
      </c>
      <c r="C43" s="109"/>
      <c r="D43" s="12"/>
      <c r="E43" s="10"/>
      <c r="F43" s="104"/>
      <c r="G43" s="105"/>
      <c r="H43" s="105"/>
      <c r="I43" s="105"/>
      <c r="J43" s="10"/>
      <c r="K43" s="134"/>
    </row>
    <row r="44" spans="1:11" ht="19">
      <c r="A44" s="110" t="s">
        <v>592</v>
      </c>
      <c r="B44" s="111">
        <f>J16+J22+J24+J28+J29</f>
        <v>180</v>
      </c>
      <c r="C44" s="11"/>
      <c r="D44" s="12"/>
      <c r="E44" s="10"/>
      <c r="F44" s="104"/>
      <c r="G44" s="105"/>
      <c r="H44" s="105"/>
      <c r="I44" s="105"/>
      <c r="J44" s="10"/>
      <c r="K44" s="134"/>
    </row>
    <row r="45" spans="1:11" ht="24">
      <c r="A45" s="112" t="s">
        <v>583</v>
      </c>
      <c r="B45" s="113">
        <f>SUM(B43:B44)</f>
        <v>300</v>
      </c>
      <c r="C45" s="11"/>
      <c r="D45" s="12"/>
      <c r="E45" s="10"/>
      <c r="F45" s="104"/>
      <c r="G45" s="114"/>
      <c r="H45" s="105"/>
      <c r="I45" s="105"/>
      <c r="J45" s="10"/>
      <c r="K45" s="134"/>
    </row>
    <row r="46" spans="1:11" ht="19">
      <c r="A46" s="13" t="s">
        <v>584</v>
      </c>
      <c r="B46" s="13" t="s">
        <v>585</v>
      </c>
      <c r="C46" s="11"/>
      <c r="D46" s="12"/>
      <c r="E46" s="10"/>
      <c r="F46" s="104"/>
      <c r="G46" s="105"/>
      <c r="H46" s="105"/>
      <c r="I46" s="105"/>
      <c r="J46" s="10"/>
      <c r="K46" s="134"/>
    </row>
    <row r="47" spans="1:11" ht="19">
      <c r="A47" s="10"/>
      <c r="B47" s="14"/>
      <c r="C47" s="11"/>
      <c r="D47" s="12"/>
      <c r="E47" s="10"/>
      <c r="F47" s="104"/>
      <c r="G47" s="105"/>
      <c r="H47" s="105"/>
      <c r="I47" s="105"/>
      <c r="J47" s="10"/>
      <c r="K47" s="134"/>
    </row>
    <row r="48" spans="1:11" ht="19">
      <c r="A48" s="13" t="s">
        <v>59</v>
      </c>
      <c r="B48" s="13" t="s">
        <v>60</v>
      </c>
      <c r="C48" s="11"/>
      <c r="D48" s="12"/>
      <c r="E48" s="10"/>
      <c r="F48" s="104"/>
      <c r="G48" s="105"/>
      <c r="H48" s="105"/>
      <c r="I48" s="105"/>
      <c r="J48" s="10"/>
      <c r="K48" s="134"/>
    </row>
    <row r="49" spans="1:11" ht="19">
      <c r="A49" s="14" t="s">
        <v>61</v>
      </c>
      <c r="B49" s="14" t="s">
        <v>62</v>
      </c>
      <c r="C49" s="11"/>
      <c r="D49" s="12"/>
      <c r="E49" s="10"/>
      <c r="F49" s="104"/>
      <c r="G49" s="105"/>
      <c r="H49" s="105"/>
      <c r="I49" s="105"/>
      <c r="J49" s="10"/>
      <c r="K49" s="134"/>
    </row>
    <row r="50" spans="1:11" ht="19">
      <c r="A50" s="14" t="s">
        <v>63</v>
      </c>
      <c r="B50" s="14" t="s">
        <v>64</v>
      </c>
      <c r="C50" s="11"/>
      <c r="D50" s="12"/>
      <c r="E50" s="10"/>
      <c r="F50" s="104"/>
      <c r="G50" s="105"/>
      <c r="H50" s="105"/>
      <c r="I50" s="105"/>
      <c r="J50" s="10"/>
      <c r="K50" s="134"/>
    </row>
    <row r="51" spans="1:11" ht="19">
      <c r="A51" s="14" t="s">
        <v>65</v>
      </c>
      <c r="B51" s="14" t="s">
        <v>0</v>
      </c>
      <c r="C51" s="11"/>
      <c r="D51" s="12"/>
      <c r="E51" s="10"/>
      <c r="F51" s="104"/>
      <c r="G51" s="105"/>
      <c r="H51" s="105"/>
      <c r="I51" s="105"/>
      <c r="J51" s="10"/>
      <c r="K51" s="134"/>
    </row>
    <row r="52" spans="1:11" ht="19">
      <c r="A52" s="14" t="s">
        <v>66</v>
      </c>
      <c r="B52" s="14" t="s">
        <v>39</v>
      </c>
      <c r="C52" s="11"/>
      <c r="D52" s="12"/>
      <c r="E52" s="10"/>
      <c r="F52" s="104"/>
      <c r="G52" s="105"/>
      <c r="H52" s="105"/>
      <c r="I52" s="105"/>
      <c r="J52" s="10"/>
      <c r="K52" s="134"/>
    </row>
    <row r="53" spans="1:11" ht="19">
      <c r="A53" s="14" t="s">
        <v>67</v>
      </c>
      <c r="B53" s="14" t="s">
        <v>0</v>
      </c>
      <c r="C53" s="11"/>
      <c r="D53" s="12"/>
      <c r="E53" s="10"/>
      <c r="F53" s="104"/>
      <c r="G53" s="105"/>
      <c r="H53" s="105"/>
      <c r="I53" s="105"/>
      <c r="J53" s="10"/>
      <c r="K53" s="134"/>
    </row>
    <row r="54" spans="1:11" ht="19">
      <c r="A54" s="14" t="s">
        <v>68</v>
      </c>
      <c r="B54" s="14" t="s">
        <v>69</v>
      </c>
      <c r="C54" s="11"/>
      <c r="D54" s="12"/>
      <c r="E54" s="10"/>
      <c r="F54" s="104"/>
      <c r="G54" s="105"/>
      <c r="H54" s="105"/>
      <c r="I54" s="105"/>
      <c r="J54" s="10"/>
      <c r="K54" s="134"/>
    </row>
    <row r="55" spans="1:11" ht="19">
      <c r="A55" s="10"/>
      <c r="B55" s="10"/>
      <c r="C55" s="11"/>
      <c r="D55" s="12"/>
      <c r="E55" s="10"/>
      <c r="F55" s="104"/>
      <c r="G55" s="105"/>
      <c r="H55" s="105"/>
      <c r="I55" s="105"/>
      <c r="J55" s="10"/>
      <c r="K55" s="134"/>
    </row>
    <row r="56" spans="1:11" ht="19">
      <c r="A56" s="15" t="s">
        <v>70</v>
      </c>
      <c r="B56" s="193"/>
      <c r="C56" s="194"/>
      <c r="D56" s="12"/>
      <c r="E56" s="10"/>
      <c r="F56" s="104"/>
      <c r="G56" s="105"/>
      <c r="H56" s="105"/>
      <c r="I56" s="105"/>
      <c r="J56" s="10"/>
      <c r="K56" s="134"/>
    </row>
    <row r="57" spans="1:11" ht="19">
      <c r="A57" s="14" t="s">
        <v>71</v>
      </c>
      <c r="B57" s="191" t="s">
        <v>72</v>
      </c>
      <c r="C57" s="192"/>
      <c r="D57" s="12"/>
      <c r="E57" s="10"/>
      <c r="F57" s="104"/>
      <c r="G57" s="105"/>
      <c r="H57" s="105"/>
      <c r="I57" s="105"/>
      <c r="J57" s="10"/>
      <c r="K57" s="134"/>
    </row>
    <row r="58" spans="1:11" ht="19">
      <c r="A58" s="14" t="s">
        <v>73</v>
      </c>
      <c r="B58" s="191" t="s">
        <v>74</v>
      </c>
      <c r="C58" s="192"/>
      <c r="D58" s="12"/>
      <c r="E58" s="10"/>
      <c r="F58" s="104"/>
      <c r="G58" s="105"/>
      <c r="H58" s="105"/>
      <c r="I58" s="105"/>
      <c r="J58" s="10"/>
      <c r="K58" s="134"/>
    </row>
    <row r="59" spans="1:11" ht="19">
      <c r="A59" s="14" t="s">
        <v>75</v>
      </c>
      <c r="B59" s="191" t="s">
        <v>76</v>
      </c>
      <c r="C59" s="192"/>
      <c r="D59" s="12"/>
      <c r="E59" s="10"/>
      <c r="F59" s="104"/>
      <c r="G59" s="105"/>
      <c r="H59" s="105"/>
      <c r="I59" s="105"/>
      <c r="J59" s="10"/>
      <c r="K59" s="134"/>
    </row>
    <row r="60" spans="1:11" ht="19">
      <c r="A60" s="14" t="s">
        <v>77</v>
      </c>
      <c r="B60" s="191" t="s">
        <v>76</v>
      </c>
      <c r="C60" s="192"/>
      <c r="D60" s="12"/>
      <c r="E60" s="10"/>
      <c r="F60" s="104"/>
      <c r="G60" s="105"/>
      <c r="H60" s="105"/>
      <c r="I60" s="105"/>
      <c r="J60" s="10"/>
      <c r="K60" s="134"/>
    </row>
    <row r="61" spans="1:11" ht="19">
      <c r="A61" s="14" t="s">
        <v>78</v>
      </c>
      <c r="B61" s="191" t="s">
        <v>79</v>
      </c>
      <c r="C61" s="192"/>
      <c r="D61" s="12"/>
      <c r="E61" s="10"/>
      <c r="F61" s="104"/>
      <c r="G61" s="105"/>
      <c r="H61" s="105"/>
      <c r="I61" s="105"/>
      <c r="J61" s="10"/>
      <c r="K61" s="134"/>
    </row>
    <row r="62" spans="1:11" ht="19">
      <c r="A62" s="14" t="s">
        <v>80</v>
      </c>
      <c r="B62" s="191" t="s">
        <v>79</v>
      </c>
      <c r="C62" s="192"/>
      <c r="D62" s="12"/>
      <c r="E62" s="10"/>
      <c r="F62" s="104"/>
      <c r="G62" s="105"/>
      <c r="H62" s="105"/>
      <c r="I62" s="105"/>
      <c r="J62" s="10"/>
      <c r="K62" s="134"/>
    </row>
    <row r="63" spans="1:11" ht="19">
      <c r="A63" s="14" t="s">
        <v>81</v>
      </c>
      <c r="B63" s="191" t="s">
        <v>82</v>
      </c>
      <c r="C63" s="192"/>
      <c r="D63" s="12"/>
      <c r="E63" s="10"/>
      <c r="F63" s="104"/>
      <c r="G63" s="105"/>
      <c r="H63" s="105"/>
      <c r="I63" s="105"/>
      <c r="J63" s="10"/>
      <c r="K63" s="134"/>
    </row>
    <row r="64" spans="1:11" ht="19">
      <c r="A64" s="14" t="s">
        <v>83</v>
      </c>
      <c r="B64" s="191" t="s">
        <v>84</v>
      </c>
      <c r="C64" s="192"/>
      <c r="D64" s="12"/>
      <c r="E64" s="10"/>
      <c r="F64" s="104"/>
      <c r="G64" s="105"/>
      <c r="H64" s="105"/>
      <c r="I64" s="105"/>
      <c r="J64" s="10"/>
      <c r="K64" s="134"/>
    </row>
    <row r="65" spans="1:11" ht="19">
      <c r="A65" s="10"/>
      <c r="B65" s="10"/>
      <c r="C65" s="11"/>
      <c r="D65" s="12"/>
      <c r="E65" s="10"/>
      <c r="F65" s="104"/>
      <c r="G65" s="105"/>
      <c r="H65" s="105"/>
      <c r="I65" s="105"/>
      <c r="J65" s="10"/>
      <c r="K65" s="134"/>
    </row>
    <row r="66" spans="1:11" ht="19">
      <c r="A66" s="10"/>
      <c r="B66" s="10"/>
      <c r="C66" s="11"/>
      <c r="D66" s="12"/>
      <c r="E66" s="10"/>
      <c r="F66" s="104"/>
      <c r="G66" s="105"/>
      <c r="H66" s="105"/>
      <c r="I66" s="105"/>
      <c r="J66" s="10"/>
      <c r="K66" s="134"/>
    </row>
    <row r="67" spans="1:11" ht="19">
      <c r="A67" s="10"/>
      <c r="B67" s="10"/>
      <c r="C67" s="11"/>
      <c r="D67" s="12"/>
      <c r="E67" s="10"/>
      <c r="F67" s="104"/>
      <c r="G67" s="105"/>
      <c r="H67" s="105"/>
      <c r="I67" s="105"/>
      <c r="J67" s="10"/>
      <c r="K67" s="134"/>
    </row>
    <row r="68" spans="1:11" ht="19">
      <c r="A68" s="10"/>
      <c r="B68" s="10"/>
      <c r="C68" s="11"/>
      <c r="D68" s="12"/>
      <c r="E68" s="10"/>
      <c r="F68" s="104"/>
      <c r="G68" s="105"/>
      <c r="H68" s="105"/>
      <c r="I68" s="105"/>
      <c r="J68" s="10"/>
      <c r="K68" s="134"/>
    </row>
    <row r="69" spans="1:11" ht="19">
      <c r="A69" s="10"/>
      <c r="B69" s="10"/>
      <c r="C69" s="11"/>
      <c r="D69" s="12"/>
      <c r="E69" s="10"/>
      <c r="F69" s="104"/>
      <c r="G69" s="105"/>
      <c r="H69" s="105"/>
      <c r="I69" s="105"/>
      <c r="J69" s="10"/>
      <c r="K69" s="134"/>
    </row>
    <row r="70" spans="1:11" ht="19">
      <c r="A70" s="10"/>
      <c r="B70" s="10"/>
      <c r="C70" s="11"/>
      <c r="D70" s="12"/>
      <c r="E70" s="10"/>
      <c r="F70" s="104"/>
      <c r="G70" s="105"/>
      <c r="H70" s="105"/>
      <c r="I70" s="105"/>
      <c r="J70" s="10"/>
      <c r="K70" s="134"/>
    </row>
    <row r="71" spans="1:11" ht="19">
      <c r="A71" s="10"/>
      <c r="B71" s="10"/>
      <c r="C71" s="11"/>
      <c r="D71" s="12"/>
      <c r="E71" s="10"/>
      <c r="F71" s="104"/>
      <c r="G71" s="105"/>
      <c r="H71" s="105"/>
      <c r="I71" s="105"/>
      <c r="J71" s="10"/>
      <c r="K71" s="134"/>
    </row>
    <row r="72" spans="1:11" ht="19">
      <c r="A72" s="10"/>
      <c r="B72" s="10"/>
      <c r="C72" s="11"/>
      <c r="D72" s="12"/>
      <c r="E72" s="10"/>
      <c r="F72" s="104"/>
      <c r="G72" s="105"/>
      <c r="H72" s="105"/>
      <c r="I72" s="105"/>
      <c r="J72" s="10"/>
      <c r="K72" s="134"/>
    </row>
    <row r="73" spans="1:11" ht="19">
      <c r="A73" s="10"/>
      <c r="B73" s="10"/>
      <c r="C73" s="11"/>
      <c r="D73" s="12"/>
      <c r="E73" s="10"/>
      <c r="F73" s="104"/>
      <c r="G73" s="105"/>
      <c r="H73" s="105"/>
      <c r="I73" s="105"/>
      <c r="J73" s="10"/>
      <c r="K73" s="134"/>
    </row>
  </sheetData>
  <mergeCells count="29">
    <mergeCell ref="K24:K25"/>
    <mergeCell ref="B24:B25"/>
    <mergeCell ref="C24:C25"/>
    <mergeCell ref="D24:D25"/>
    <mergeCell ref="F24:F25"/>
    <mergeCell ref="G24:G25"/>
    <mergeCell ref="H24:H25"/>
    <mergeCell ref="I24:I25"/>
    <mergeCell ref="J24:J25"/>
    <mergeCell ref="B62:C62"/>
    <mergeCell ref="B63:C63"/>
    <mergeCell ref="B64:C64"/>
    <mergeCell ref="B56:C56"/>
    <mergeCell ref="B57:C57"/>
    <mergeCell ref="B58:C58"/>
    <mergeCell ref="B59:C59"/>
    <mergeCell ref="B60:C60"/>
    <mergeCell ref="A33:F33"/>
    <mergeCell ref="A34:K34"/>
    <mergeCell ref="A36:B36"/>
    <mergeCell ref="D27:D28"/>
    <mergeCell ref="B61:C61"/>
    <mergeCell ref="B1:C1"/>
    <mergeCell ref="B3:C3"/>
    <mergeCell ref="B4:C4"/>
    <mergeCell ref="A27:A28"/>
    <mergeCell ref="B27:B28"/>
    <mergeCell ref="A16:A17"/>
    <mergeCell ref="B16:B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7803-D14A-B849-9FA0-E1502338F0B6}">
  <dimension ref="A1:K74"/>
  <sheetViews>
    <sheetView showGridLines="0" workbookViewId="0"/>
  </sheetViews>
  <sheetFormatPr baseColWidth="10" defaultRowHeight="16"/>
  <cols>
    <col min="1" max="1" width="29.33203125" bestFit="1" customWidth="1"/>
    <col min="2" max="2" width="65.1640625" bestFit="1" customWidth="1"/>
    <col min="3" max="3" width="19.83203125" bestFit="1" customWidth="1"/>
    <col min="4" max="4" width="18.1640625" bestFit="1" customWidth="1"/>
    <col min="5" max="5" width="11" bestFit="1" customWidth="1"/>
    <col min="6" max="6" width="10.33203125" bestFit="1" customWidth="1"/>
    <col min="7" max="7" width="11.6640625" bestFit="1" customWidth="1"/>
    <col min="8" max="8" width="8.6640625" bestFit="1" customWidth="1"/>
    <col min="9" max="9" width="8.1640625" bestFit="1" customWidth="1"/>
    <col min="10" max="10" width="14.1640625" customWidth="1"/>
    <col min="11" max="11" width="14.1640625" bestFit="1" customWidth="1"/>
  </cols>
  <sheetData>
    <row r="1" spans="1:11" ht="19">
      <c r="A1" s="152" t="s">
        <v>3</v>
      </c>
      <c r="B1" s="163" t="s">
        <v>602</v>
      </c>
      <c r="C1" s="164"/>
      <c r="D1" s="2"/>
      <c r="K1" s="121"/>
    </row>
    <row r="2" spans="1:11" ht="19">
      <c r="A2" s="152" t="s">
        <v>4</v>
      </c>
      <c r="B2" s="115" t="s">
        <v>593</v>
      </c>
      <c r="C2" s="116"/>
      <c r="D2" s="2"/>
      <c r="K2" s="121"/>
    </row>
    <row r="3" spans="1:11" ht="19">
      <c r="A3" s="152" t="s">
        <v>5</v>
      </c>
      <c r="B3" s="163" t="s">
        <v>608</v>
      </c>
      <c r="C3" s="164"/>
      <c r="D3" s="2"/>
      <c r="K3" s="121"/>
    </row>
    <row r="4" spans="1:11" ht="19">
      <c r="A4" s="3" t="s">
        <v>6</v>
      </c>
      <c r="B4" s="172" t="s">
        <v>8</v>
      </c>
      <c r="C4" s="164"/>
      <c r="D4" s="2"/>
      <c r="K4" s="121"/>
    </row>
    <row r="5" spans="1:11" ht="19">
      <c r="A5" s="4"/>
      <c r="B5" s="5"/>
      <c r="C5" s="6"/>
      <c r="D5" s="7"/>
      <c r="K5" s="121"/>
    </row>
    <row r="6" spans="1:11" ht="80">
      <c r="A6" s="31" t="s">
        <v>9</v>
      </c>
      <c r="B6" s="32" t="s">
        <v>10</v>
      </c>
      <c r="C6" s="32" t="s">
        <v>11</v>
      </c>
      <c r="D6" s="32" t="s">
        <v>12</v>
      </c>
      <c r="E6" s="32" t="s">
        <v>556</v>
      </c>
      <c r="F6" s="33" t="s">
        <v>557</v>
      </c>
      <c r="G6" s="34" t="s">
        <v>558</v>
      </c>
      <c r="H6" s="34" t="s">
        <v>559</v>
      </c>
      <c r="I6" s="35" t="s">
        <v>560</v>
      </c>
      <c r="J6" s="34" t="s">
        <v>561</v>
      </c>
      <c r="K6" s="156" t="s">
        <v>562</v>
      </c>
    </row>
    <row r="7" spans="1:11" ht="20">
      <c r="A7" s="36" t="s">
        <v>13</v>
      </c>
      <c r="B7" s="37"/>
      <c r="C7" s="38"/>
      <c r="D7" s="39"/>
      <c r="E7" s="37"/>
      <c r="F7" s="40"/>
      <c r="G7" s="41"/>
      <c r="H7" s="41"/>
      <c r="I7" s="41"/>
      <c r="J7" s="37"/>
      <c r="K7" s="122"/>
    </row>
    <row r="8" spans="1:11" ht="19">
      <c r="A8" s="42" t="s">
        <v>14</v>
      </c>
      <c r="B8" s="43"/>
      <c r="C8" s="43"/>
      <c r="D8" s="43"/>
      <c r="E8" s="43"/>
      <c r="F8" s="43"/>
      <c r="G8" s="43"/>
      <c r="H8" s="43"/>
      <c r="I8" s="43"/>
      <c r="J8" s="43"/>
      <c r="K8" s="123"/>
    </row>
    <row r="9" spans="1:11" ht="19">
      <c r="A9" s="44" t="s">
        <v>15</v>
      </c>
      <c r="B9" s="45" t="s">
        <v>16</v>
      </c>
      <c r="C9" s="46" t="s">
        <v>17</v>
      </c>
      <c r="D9" s="47" t="s">
        <v>18</v>
      </c>
      <c r="E9" s="47" t="s">
        <v>563</v>
      </c>
      <c r="F9" s="48">
        <v>200</v>
      </c>
      <c r="G9" s="49">
        <v>15000</v>
      </c>
      <c r="H9" s="49">
        <f>I9*G9</f>
        <v>2250</v>
      </c>
      <c r="I9" s="50">
        <v>0.15</v>
      </c>
      <c r="J9" s="51">
        <f>H9*3%</f>
        <v>67.5</v>
      </c>
      <c r="K9" s="48">
        <f>F9*H9</f>
        <v>450000</v>
      </c>
    </row>
    <row r="10" spans="1:11" ht="20">
      <c r="A10" s="44" t="s">
        <v>19</v>
      </c>
      <c r="B10" s="52" t="s">
        <v>20</v>
      </c>
      <c r="C10" s="46" t="s">
        <v>21</v>
      </c>
      <c r="D10" s="47" t="s">
        <v>22</v>
      </c>
      <c r="E10" s="47" t="s">
        <v>563</v>
      </c>
      <c r="F10" s="48">
        <v>5</v>
      </c>
      <c r="G10" s="49">
        <v>1500000</v>
      </c>
      <c r="H10" s="49">
        <f t="shared" ref="H10" si="0">I10*G10</f>
        <v>7500</v>
      </c>
      <c r="I10" s="50">
        <v>5.0000000000000001E-3</v>
      </c>
      <c r="J10" s="51">
        <f>H10*(0.2%)</f>
        <v>15</v>
      </c>
      <c r="K10" s="48">
        <f t="shared" ref="K10:K11" si="1">H10*F10</f>
        <v>37500</v>
      </c>
    </row>
    <row r="11" spans="1:11" ht="19">
      <c r="A11" s="44" t="s">
        <v>23</v>
      </c>
      <c r="B11" s="45" t="s">
        <v>24</v>
      </c>
      <c r="C11" s="46" t="s">
        <v>25</v>
      </c>
      <c r="D11" s="47" t="s">
        <v>26</v>
      </c>
      <c r="E11" s="47" t="s">
        <v>563</v>
      </c>
      <c r="F11" s="48">
        <v>5</v>
      </c>
      <c r="G11" s="49">
        <v>1500000</v>
      </c>
      <c r="H11" s="49">
        <f>G11*I11</f>
        <v>7500</v>
      </c>
      <c r="I11" s="50">
        <v>5.0000000000000001E-3</v>
      </c>
      <c r="J11" s="51">
        <f>H11*0.2%</f>
        <v>15</v>
      </c>
      <c r="K11" s="48">
        <f t="shared" si="1"/>
        <v>37500</v>
      </c>
    </row>
    <row r="12" spans="1:11" ht="40">
      <c r="A12" s="44" t="s">
        <v>27</v>
      </c>
      <c r="B12" s="45" t="s">
        <v>28</v>
      </c>
      <c r="C12" s="46" t="s">
        <v>29</v>
      </c>
      <c r="D12" s="53" t="s">
        <v>30</v>
      </c>
      <c r="E12" s="47" t="s">
        <v>563</v>
      </c>
      <c r="F12" s="48">
        <v>8</v>
      </c>
      <c r="G12" s="49">
        <f>G9*100</f>
        <v>1500000</v>
      </c>
      <c r="H12" s="49">
        <f>G12*I12</f>
        <v>11250</v>
      </c>
      <c r="I12" s="50">
        <v>7.4999999999999997E-3</v>
      </c>
      <c r="J12" s="51">
        <f>H12*0.2%</f>
        <v>22.5</v>
      </c>
      <c r="K12" s="48">
        <f>H12*F12</f>
        <v>90000</v>
      </c>
    </row>
    <row r="13" spans="1:11" ht="20">
      <c r="A13" s="54" t="s">
        <v>31</v>
      </c>
      <c r="B13" s="55"/>
      <c r="C13" s="55"/>
      <c r="D13" s="55"/>
      <c r="E13" s="55"/>
      <c r="F13" s="55"/>
      <c r="G13" s="55"/>
      <c r="H13" s="55"/>
      <c r="I13" s="55"/>
      <c r="J13" s="55"/>
      <c r="K13" s="124"/>
    </row>
    <row r="14" spans="1:11" ht="19">
      <c r="A14" s="8" t="s">
        <v>32</v>
      </c>
      <c r="B14" s="45" t="s">
        <v>16</v>
      </c>
      <c r="C14" s="46" t="s">
        <v>17</v>
      </c>
      <c r="D14" s="47" t="s">
        <v>18</v>
      </c>
      <c r="E14" s="47" t="s">
        <v>563</v>
      </c>
      <c r="F14" s="48">
        <v>80</v>
      </c>
      <c r="G14" s="49">
        <v>0</v>
      </c>
      <c r="H14" s="49">
        <f>I14*G14</f>
        <v>0</v>
      </c>
      <c r="I14" s="50">
        <v>0.15</v>
      </c>
      <c r="J14" s="51">
        <f>H14*3%</f>
        <v>0</v>
      </c>
      <c r="K14" s="48">
        <f>F14*H14</f>
        <v>0</v>
      </c>
    </row>
    <row r="15" spans="1:11" ht="20">
      <c r="A15" s="56" t="s">
        <v>33</v>
      </c>
      <c r="B15" s="57"/>
      <c r="C15" s="58"/>
      <c r="D15" s="59"/>
      <c r="E15" s="59"/>
      <c r="F15" s="60"/>
      <c r="G15" s="61"/>
      <c r="H15" s="61"/>
      <c r="I15" s="62"/>
      <c r="J15" s="61"/>
      <c r="K15" s="125"/>
    </row>
    <row r="16" spans="1:11" ht="60">
      <c r="A16" s="177" t="s">
        <v>34</v>
      </c>
      <c r="B16" s="179" t="s">
        <v>35</v>
      </c>
      <c r="C16" s="63" t="s">
        <v>36</v>
      </c>
      <c r="D16" s="47" t="s">
        <v>37</v>
      </c>
      <c r="E16" s="47" t="s">
        <v>564</v>
      </c>
      <c r="F16" s="48">
        <v>2500</v>
      </c>
      <c r="G16" s="64">
        <v>0</v>
      </c>
      <c r="H16" s="64">
        <f t="shared" ref="H16:H17" si="2">G16*I16</f>
        <v>0</v>
      </c>
      <c r="I16" s="65">
        <v>0.01</v>
      </c>
      <c r="J16" s="51">
        <f>H16*3%</f>
        <v>0</v>
      </c>
      <c r="K16" s="126">
        <f>J16*F16</f>
        <v>0</v>
      </c>
    </row>
    <row r="17" spans="1:11" ht="19">
      <c r="A17" s="178"/>
      <c r="B17" s="180"/>
      <c r="C17" s="46" t="s">
        <v>38</v>
      </c>
      <c r="D17" s="47" t="s">
        <v>37</v>
      </c>
      <c r="E17" s="47" t="s">
        <v>565</v>
      </c>
      <c r="F17" s="48">
        <v>250</v>
      </c>
      <c r="G17" s="64">
        <v>0</v>
      </c>
      <c r="H17" s="64">
        <f t="shared" si="2"/>
        <v>0</v>
      </c>
      <c r="I17" s="65">
        <v>3.0000000000000001E-3</v>
      </c>
      <c r="J17" s="50" t="s">
        <v>39</v>
      </c>
      <c r="K17" s="126">
        <f>H17*F17</f>
        <v>0</v>
      </c>
    </row>
    <row r="18" spans="1:11" ht="20">
      <c r="A18" s="36" t="s">
        <v>40</v>
      </c>
      <c r="B18" s="66"/>
      <c r="C18" s="66"/>
      <c r="D18" s="67"/>
      <c r="E18" s="68"/>
      <c r="F18" s="69"/>
      <c r="G18" s="70"/>
      <c r="H18" s="70"/>
      <c r="I18" s="70"/>
      <c r="J18" s="68"/>
      <c r="K18" s="127"/>
    </row>
    <row r="19" spans="1:11" ht="40">
      <c r="A19" s="71" t="s">
        <v>41</v>
      </c>
      <c r="B19" s="63" t="s">
        <v>42</v>
      </c>
      <c r="C19" s="63" t="s">
        <v>43</v>
      </c>
      <c r="D19" s="72" t="s">
        <v>37</v>
      </c>
      <c r="E19" s="73" t="s">
        <v>566</v>
      </c>
      <c r="F19" s="74">
        <v>3</v>
      </c>
      <c r="G19" s="64" t="s">
        <v>39</v>
      </c>
      <c r="H19" s="64" t="s">
        <v>39</v>
      </c>
      <c r="I19" s="65" t="s">
        <v>39</v>
      </c>
      <c r="J19" s="64">
        <v>0</v>
      </c>
      <c r="K19" s="126">
        <f>J19*F19</f>
        <v>0</v>
      </c>
    </row>
    <row r="20" spans="1:11" ht="20">
      <c r="A20" s="54" t="s">
        <v>44</v>
      </c>
      <c r="B20" s="75"/>
      <c r="C20" s="66"/>
      <c r="D20" s="67"/>
      <c r="E20" s="67"/>
      <c r="F20" s="76"/>
      <c r="G20" s="77"/>
      <c r="H20" s="77"/>
      <c r="I20" s="78"/>
      <c r="J20" s="77"/>
      <c r="K20" s="128"/>
    </row>
    <row r="21" spans="1:11" ht="40">
      <c r="A21" s="79" t="s">
        <v>45</v>
      </c>
      <c r="B21" s="80" t="s">
        <v>46</v>
      </c>
      <c r="C21" s="81" t="s">
        <v>47</v>
      </c>
      <c r="D21" s="73" t="s">
        <v>48</v>
      </c>
      <c r="E21" s="73" t="s">
        <v>563</v>
      </c>
      <c r="F21" s="74">
        <v>20</v>
      </c>
      <c r="G21" s="82">
        <v>0</v>
      </c>
      <c r="H21" s="82">
        <f t="shared" ref="H21:H22" si="3">I21*G21</f>
        <v>0</v>
      </c>
      <c r="I21" s="83">
        <v>1.8E-3</v>
      </c>
      <c r="J21" s="51">
        <f>H21*(0.5%)</f>
        <v>0</v>
      </c>
      <c r="K21" s="129">
        <f>F21*H21</f>
        <v>0</v>
      </c>
    </row>
    <row r="22" spans="1:11" ht="20">
      <c r="A22" s="79" t="s">
        <v>567</v>
      </c>
      <c r="B22" s="45" t="s">
        <v>568</v>
      </c>
      <c r="C22" s="46" t="s">
        <v>49</v>
      </c>
      <c r="D22" s="84" t="s">
        <v>37</v>
      </c>
      <c r="E22" s="53" t="s">
        <v>563</v>
      </c>
      <c r="F22" s="85" t="s">
        <v>569</v>
      </c>
      <c r="G22" s="82">
        <v>0</v>
      </c>
      <c r="H22" s="86">
        <f t="shared" si="3"/>
        <v>0</v>
      </c>
      <c r="I22" s="65">
        <v>3.5000000000000003E-2</v>
      </c>
      <c r="J22" s="64">
        <f>H22*0.3%</f>
        <v>0</v>
      </c>
      <c r="K22" s="129">
        <f>15*H22</f>
        <v>0</v>
      </c>
    </row>
    <row r="23" spans="1:11" ht="20">
      <c r="A23" s="54" t="s">
        <v>589</v>
      </c>
      <c r="B23" s="75"/>
      <c r="C23" s="66"/>
      <c r="D23" s="67"/>
      <c r="E23" s="67"/>
      <c r="F23" s="76"/>
      <c r="G23" s="77"/>
      <c r="H23" s="77"/>
      <c r="I23" s="78"/>
      <c r="J23" s="77"/>
      <c r="K23" s="128"/>
    </row>
    <row r="24" spans="1:11" ht="20">
      <c r="A24" s="117" t="s">
        <v>589</v>
      </c>
      <c r="B24" s="197" t="s">
        <v>590</v>
      </c>
      <c r="C24" s="199" t="s">
        <v>591</v>
      </c>
      <c r="D24" s="199" t="s">
        <v>37</v>
      </c>
      <c r="E24" s="118" t="s">
        <v>563</v>
      </c>
      <c r="F24" s="202">
        <v>20</v>
      </c>
      <c r="G24" s="204">
        <v>0</v>
      </c>
      <c r="H24" s="204">
        <f t="shared" ref="H24" si="4">G24*I24</f>
        <v>0</v>
      </c>
      <c r="I24" s="206">
        <v>7.0000000000000001E-3</v>
      </c>
      <c r="J24" s="208">
        <f>H24*0.7%</f>
        <v>0</v>
      </c>
      <c r="K24" s="195">
        <f>F24*H24</f>
        <v>0</v>
      </c>
    </row>
    <row r="25" spans="1:11" ht="19">
      <c r="A25" s="119"/>
      <c r="B25" s="198"/>
      <c r="C25" s="200"/>
      <c r="D25" s="201"/>
      <c r="E25" s="153"/>
      <c r="F25" s="203"/>
      <c r="G25" s="205"/>
      <c r="H25" s="205"/>
      <c r="I25" s="207"/>
      <c r="J25" s="209"/>
      <c r="K25" s="196"/>
    </row>
    <row r="26" spans="1:11" ht="20">
      <c r="A26" s="36" t="s">
        <v>50</v>
      </c>
      <c r="B26" s="38"/>
      <c r="C26" s="38"/>
      <c r="D26" s="39"/>
      <c r="E26" s="37"/>
      <c r="F26" s="40"/>
      <c r="G26" s="41"/>
      <c r="H26" s="41"/>
      <c r="I26" s="41"/>
      <c r="J26" s="37"/>
      <c r="K26" s="122"/>
    </row>
    <row r="27" spans="1:11" ht="20">
      <c r="A27" s="173" t="s">
        <v>51</v>
      </c>
      <c r="B27" s="175" t="s">
        <v>52</v>
      </c>
      <c r="C27" s="87" t="s">
        <v>53</v>
      </c>
      <c r="D27" s="189" t="s">
        <v>37</v>
      </c>
      <c r="E27" s="88" t="s">
        <v>563</v>
      </c>
      <c r="F27" s="74">
        <v>10</v>
      </c>
      <c r="G27" s="64">
        <v>0</v>
      </c>
      <c r="H27" s="64">
        <f t="shared" ref="H27:H29" si="5">G27*I27</f>
        <v>0</v>
      </c>
      <c r="I27" s="65">
        <v>0.02</v>
      </c>
      <c r="J27" s="64">
        <f>H27*0.75</f>
        <v>0</v>
      </c>
      <c r="K27" s="130">
        <f>F27*H27</f>
        <v>0</v>
      </c>
    </row>
    <row r="28" spans="1:11" ht="20">
      <c r="A28" s="174"/>
      <c r="B28" s="176"/>
      <c r="C28" s="89" t="s">
        <v>54</v>
      </c>
      <c r="D28" s="190"/>
      <c r="E28" s="90" t="s">
        <v>570</v>
      </c>
      <c r="F28" s="91">
        <v>800</v>
      </c>
      <c r="G28" s="154">
        <v>200000</v>
      </c>
      <c r="H28" s="154">
        <f t="shared" si="5"/>
        <v>6000</v>
      </c>
      <c r="I28" s="155">
        <v>0.03</v>
      </c>
      <c r="J28" s="154">
        <f>H28*3%</f>
        <v>180</v>
      </c>
      <c r="K28" s="131">
        <f>J28*F28</f>
        <v>144000</v>
      </c>
    </row>
    <row r="29" spans="1:11" ht="40">
      <c r="A29" s="29" t="s">
        <v>571</v>
      </c>
      <c r="B29" s="45" t="s">
        <v>572</v>
      </c>
      <c r="C29" s="89" t="s">
        <v>54</v>
      </c>
      <c r="D29" s="30" t="s">
        <v>37</v>
      </c>
      <c r="E29" s="30" t="s">
        <v>570</v>
      </c>
      <c r="F29" s="94">
        <v>500</v>
      </c>
      <c r="G29" s="95">
        <v>0</v>
      </c>
      <c r="H29" s="154">
        <f t="shared" si="5"/>
        <v>0</v>
      </c>
      <c r="I29" s="155">
        <v>0.03</v>
      </c>
      <c r="J29" s="154">
        <f>H29*3%</f>
        <v>0</v>
      </c>
      <c r="K29" s="131">
        <f>J29*F29</f>
        <v>0</v>
      </c>
    </row>
    <row r="30" spans="1:11" ht="60">
      <c r="A30" s="9"/>
      <c r="B30" s="9"/>
      <c r="C30" s="9"/>
      <c r="D30" s="9"/>
      <c r="E30" s="9"/>
      <c r="F30" s="96" t="s">
        <v>573</v>
      </c>
      <c r="G30" s="96" t="s">
        <v>574</v>
      </c>
      <c r="H30" s="9"/>
      <c r="I30" s="9"/>
      <c r="J30" s="9"/>
      <c r="K30" s="132"/>
    </row>
    <row r="31" spans="1:11" ht="20">
      <c r="A31" s="97"/>
      <c r="B31" s="98" t="s">
        <v>55</v>
      </c>
      <c r="C31" s="87" t="s">
        <v>56</v>
      </c>
      <c r="D31" s="84" t="s">
        <v>22</v>
      </c>
      <c r="E31" s="72" t="s">
        <v>575</v>
      </c>
      <c r="F31" s="94">
        <v>0</v>
      </c>
      <c r="G31" s="99">
        <f>K31/2</f>
        <v>0</v>
      </c>
      <c r="H31" s="100"/>
      <c r="I31" s="101"/>
      <c r="J31" s="101"/>
      <c r="K31" s="95">
        <f>F31*30</f>
        <v>0</v>
      </c>
    </row>
    <row r="32" spans="1:11" ht="20">
      <c r="A32" s="97"/>
      <c r="B32" s="80" t="s">
        <v>57</v>
      </c>
      <c r="C32" s="81" t="s">
        <v>56</v>
      </c>
      <c r="D32" s="73" t="s">
        <v>22</v>
      </c>
      <c r="E32" s="102" t="s">
        <v>575</v>
      </c>
      <c r="F32" s="94">
        <v>0</v>
      </c>
      <c r="G32" s="99">
        <f>K32/10</f>
        <v>0</v>
      </c>
      <c r="H32" s="100"/>
      <c r="I32" s="101"/>
      <c r="J32" s="101"/>
      <c r="K32" s="95">
        <f>F32*30</f>
        <v>0</v>
      </c>
    </row>
    <row r="33" spans="1:11" ht="19">
      <c r="A33" s="181" t="s">
        <v>7</v>
      </c>
      <c r="B33" s="182"/>
      <c r="C33" s="182"/>
      <c r="D33" s="182"/>
      <c r="E33" s="182"/>
      <c r="F33" s="183"/>
      <c r="G33" s="103">
        <f>SUM(G9:G32)</f>
        <v>4715000</v>
      </c>
      <c r="H33" s="103">
        <f>SUM(H9:H32)</f>
        <v>34500</v>
      </c>
      <c r="I33" s="103"/>
      <c r="J33" s="103">
        <f>SUM(J9:J32)</f>
        <v>300</v>
      </c>
      <c r="K33" s="133">
        <f>SUM(K9:K32)</f>
        <v>759000</v>
      </c>
    </row>
    <row r="34" spans="1:11" ht="19">
      <c r="A34" s="184" t="s">
        <v>58</v>
      </c>
      <c r="B34" s="185"/>
      <c r="C34" s="185"/>
      <c r="D34" s="185"/>
      <c r="E34" s="185"/>
      <c r="F34" s="185"/>
      <c r="G34" s="185"/>
      <c r="H34" s="185"/>
      <c r="I34" s="185"/>
      <c r="J34" s="185"/>
      <c r="K34" s="186"/>
    </row>
    <row r="35" spans="1:11" ht="19">
      <c r="A35" s="10"/>
      <c r="B35" s="10"/>
      <c r="C35" s="11"/>
      <c r="D35" s="12"/>
      <c r="E35" s="10"/>
      <c r="F35" s="104" t="s">
        <v>576</v>
      </c>
      <c r="G35" s="105"/>
      <c r="H35" s="105"/>
      <c r="I35" s="105"/>
      <c r="J35" s="10"/>
      <c r="K35" s="134"/>
    </row>
    <row r="36" spans="1:11" ht="19">
      <c r="A36" s="187" t="s">
        <v>577</v>
      </c>
      <c r="B36" s="188"/>
      <c r="C36" s="11"/>
      <c r="D36" s="12"/>
      <c r="E36" s="10"/>
      <c r="F36" s="104"/>
      <c r="G36" s="105"/>
      <c r="H36" s="105"/>
      <c r="I36" s="105"/>
      <c r="J36" s="10"/>
      <c r="K36" s="134"/>
    </row>
    <row r="37" spans="1:11" ht="19">
      <c r="A37" s="106" t="s">
        <v>558</v>
      </c>
      <c r="B37" s="107">
        <f>G33</f>
        <v>4715000</v>
      </c>
      <c r="C37" s="11"/>
      <c r="D37" s="12"/>
      <c r="E37" s="10"/>
      <c r="F37" s="104"/>
      <c r="G37" s="105"/>
      <c r="H37" s="105"/>
      <c r="I37" s="105"/>
      <c r="J37" s="10"/>
      <c r="K37" s="134"/>
    </row>
    <row r="38" spans="1:11" ht="19">
      <c r="A38" s="106" t="s">
        <v>559</v>
      </c>
      <c r="B38" s="107">
        <f>H33</f>
        <v>34500</v>
      </c>
      <c r="C38" s="11"/>
      <c r="D38" s="12"/>
      <c r="E38" s="10"/>
      <c r="F38" s="104"/>
      <c r="G38" s="105"/>
      <c r="H38" s="105"/>
      <c r="I38" s="105"/>
      <c r="J38" s="10"/>
      <c r="K38" s="134"/>
    </row>
    <row r="39" spans="1:11" ht="19">
      <c r="A39" s="106" t="s">
        <v>578</v>
      </c>
      <c r="B39" s="108">
        <f>H9+H10+H11+H12+H14+H27</f>
        <v>28500</v>
      </c>
      <c r="C39" s="11"/>
      <c r="D39" s="12"/>
      <c r="E39" s="10"/>
      <c r="F39" s="104"/>
      <c r="G39" s="105"/>
      <c r="H39" s="105"/>
      <c r="I39" s="105"/>
      <c r="J39" s="10"/>
      <c r="K39" s="134"/>
    </row>
    <row r="40" spans="1:11" ht="19">
      <c r="A40" s="106" t="s">
        <v>579</v>
      </c>
      <c r="B40" s="108">
        <f>G32</f>
        <v>0</v>
      </c>
      <c r="C40" s="11"/>
      <c r="D40" s="12"/>
      <c r="E40" s="10"/>
      <c r="F40" s="104"/>
      <c r="G40" s="105"/>
      <c r="H40" s="105"/>
      <c r="I40" s="105"/>
      <c r="J40" s="10"/>
      <c r="K40" s="134"/>
    </row>
    <row r="41" spans="1:11" ht="19">
      <c r="A41" s="106" t="s">
        <v>580</v>
      </c>
      <c r="B41" s="108">
        <f>G31</f>
        <v>0</v>
      </c>
      <c r="C41" s="11"/>
      <c r="D41" s="12"/>
      <c r="E41" s="10"/>
      <c r="F41" s="104"/>
      <c r="G41" s="105"/>
      <c r="H41" s="105"/>
      <c r="I41" s="105"/>
      <c r="J41" s="10"/>
      <c r="K41" s="134"/>
    </row>
    <row r="42" spans="1:11" ht="19">
      <c r="A42" s="106" t="s">
        <v>581</v>
      </c>
      <c r="B42" s="107">
        <f>SUM(J19)</f>
        <v>0</v>
      </c>
      <c r="C42" s="11"/>
      <c r="D42" s="12"/>
      <c r="E42" s="10"/>
      <c r="F42" s="104"/>
      <c r="G42" s="105"/>
      <c r="H42" s="2"/>
      <c r="I42" s="105"/>
      <c r="J42" s="10"/>
      <c r="K42" s="134"/>
    </row>
    <row r="43" spans="1:11" ht="19">
      <c r="A43" s="106" t="s">
        <v>582</v>
      </c>
      <c r="B43" s="107">
        <f>SUM(J9:J12)</f>
        <v>120</v>
      </c>
      <c r="C43" s="109"/>
      <c r="D43" s="12"/>
      <c r="E43" s="10"/>
      <c r="F43" s="104"/>
      <c r="G43" s="105"/>
      <c r="H43" s="105"/>
      <c r="I43" s="105"/>
      <c r="J43" s="10"/>
      <c r="K43" s="134"/>
    </row>
    <row r="44" spans="1:11" ht="19">
      <c r="A44" s="110" t="s">
        <v>592</v>
      </c>
      <c r="B44" s="111">
        <f>J16+J22+J24+J28+J29</f>
        <v>180</v>
      </c>
      <c r="C44" s="11"/>
      <c r="D44" s="12"/>
      <c r="E44" s="10"/>
      <c r="F44" s="104"/>
      <c r="G44" s="105"/>
      <c r="H44" s="105"/>
      <c r="I44" s="105"/>
      <c r="J44" s="10"/>
      <c r="K44" s="134"/>
    </row>
    <row r="45" spans="1:11" ht="24">
      <c r="A45" s="112" t="s">
        <v>583</v>
      </c>
      <c r="B45" s="113">
        <f>SUM(B43:B44)</f>
        <v>300</v>
      </c>
      <c r="C45" s="11"/>
      <c r="D45" s="12"/>
      <c r="E45" s="10"/>
      <c r="F45" s="104"/>
      <c r="G45" s="114"/>
      <c r="H45" s="105"/>
      <c r="I45" s="105"/>
      <c r="J45" s="10"/>
      <c r="K45" s="134"/>
    </row>
    <row r="46" spans="1:11" ht="19">
      <c r="A46" s="13" t="s">
        <v>584</v>
      </c>
      <c r="B46" s="13" t="s">
        <v>585</v>
      </c>
      <c r="C46" s="11"/>
      <c r="D46" s="12"/>
      <c r="E46" s="10"/>
      <c r="F46" s="104"/>
      <c r="G46" s="105"/>
      <c r="H46" s="105"/>
      <c r="I46" s="105"/>
      <c r="J46" s="10"/>
      <c r="K46" s="134"/>
    </row>
    <row r="47" spans="1:11" ht="19">
      <c r="A47" s="10"/>
      <c r="B47" s="14"/>
      <c r="C47" s="11"/>
      <c r="D47" s="12"/>
      <c r="E47" s="10"/>
      <c r="F47" s="104"/>
      <c r="G47" s="105"/>
      <c r="H47" s="105"/>
      <c r="I47" s="105"/>
      <c r="J47" s="10"/>
      <c r="K47" s="134"/>
    </row>
    <row r="48" spans="1:11" ht="19">
      <c r="A48" s="13" t="s">
        <v>59</v>
      </c>
      <c r="B48" s="13" t="s">
        <v>60</v>
      </c>
      <c r="C48" s="11"/>
      <c r="D48" s="12"/>
      <c r="E48" s="10"/>
      <c r="F48" s="104"/>
      <c r="G48" s="105"/>
      <c r="H48" s="105"/>
      <c r="I48" s="105"/>
      <c r="J48" s="10"/>
      <c r="K48" s="134"/>
    </row>
    <row r="49" spans="1:11" ht="19">
      <c r="A49" s="14" t="s">
        <v>61</v>
      </c>
      <c r="B49" s="14" t="s">
        <v>62</v>
      </c>
      <c r="C49" s="11"/>
      <c r="D49" s="12"/>
      <c r="E49" s="10"/>
      <c r="F49" s="104"/>
      <c r="G49" s="105"/>
      <c r="H49" s="105"/>
      <c r="I49" s="105"/>
      <c r="J49" s="10"/>
      <c r="K49" s="134"/>
    </row>
    <row r="50" spans="1:11" ht="19">
      <c r="A50" s="14" t="s">
        <v>63</v>
      </c>
      <c r="B50" s="14" t="s">
        <v>64</v>
      </c>
      <c r="C50" s="11"/>
      <c r="D50" s="12"/>
      <c r="E50" s="10"/>
      <c r="F50" s="104"/>
      <c r="G50" s="105"/>
      <c r="H50" s="105"/>
      <c r="I50" s="105"/>
      <c r="J50" s="10"/>
      <c r="K50" s="134"/>
    </row>
    <row r="51" spans="1:11" ht="19">
      <c r="A51" s="14" t="s">
        <v>65</v>
      </c>
      <c r="B51" s="14" t="s">
        <v>0</v>
      </c>
      <c r="C51" s="11"/>
      <c r="D51" s="12"/>
      <c r="E51" s="10"/>
      <c r="F51" s="104"/>
      <c r="G51" s="105"/>
      <c r="H51" s="105"/>
      <c r="I51" s="105"/>
      <c r="J51" s="10"/>
      <c r="K51" s="134"/>
    </row>
    <row r="52" spans="1:11" ht="19">
      <c r="A52" s="14" t="s">
        <v>66</v>
      </c>
      <c r="B52" s="14" t="s">
        <v>39</v>
      </c>
      <c r="C52" s="11"/>
      <c r="D52" s="12"/>
      <c r="E52" s="10"/>
      <c r="F52" s="104"/>
      <c r="G52" s="105"/>
      <c r="H52" s="105"/>
      <c r="I52" s="105"/>
      <c r="J52" s="10"/>
      <c r="K52" s="134"/>
    </row>
    <row r="53" spans="1:11" ht="19">
      <c r="A53" s="14" t="s">
        <v>67</v>
      </c>
      <c r="B53" s="14" t="s">
        <v>0</v>
      </c>
      <c r="C53" s="11"/>
      <c r="D53" s="12"/>
      <c r="E53" s="10"/>
      <c r="F53" s="104"/>
      <c r="G53" s="105"/>
      <c r="H53" s="105"/>
      <c r="I53" s="105"/>
      <c r="J53" s="10"/>
      <c r="K53" s="134"/>
    </row>
    <row r="54" spans="1:11" ht="19">
      <c r="A54" s="14" t="s">
        <v>68</v>
      </c>
      <c r="B54" s="14" t="s">
        <v>69</v>
      </c>
      <c r="C54" s="11"/>
      <c r="D54" s="12"/>
      <c r="E54" s="10"/>
      <c r="F54" s="104"/>
      <c r="G54" s="105"/>
      <c r="H54" s="105"/>
      <c r="I54" s="105"/>
      <c r="J54" s="10"/>
      <c r="K54" s="134"/>
    </row>
    <row r="55" spans="1:11" ht="19">
      <c r="A55" s="10"/>
      <c r="B55" s="10"/>
      <c r="C55" s="11"/>
      <c r="D55" s="12"/>
      <c r="E55" s="10"/>
      <c r="F55" s="104"/>
      <c r="G55" s="105"/>
      <c r="H55" s="105"/>
      <c r="I55" s="105"/>
      <c r="J55" s="10"/>
      <c r="K55" s="134"/>
    </row>
    <row r="56" spans="1:11" ht="19">
      <c r="A56" s="15" t="s">
        <v>70</v>
      </c>
      <c r="B56" s="193"/>
      <c r="C56" s="194"/>
      <c r="D56" s="12"/>
      <c r="E56" s="10"/>
      <c r="F56" s="104"/>
      <c r="G56" s="105"/>
      <c r="H56" s="105"/>
      <c r="I56" s="105"/>
      <c r="J56" s="10"/>
      <c r="K56" s="134"/>
    </row>
    <row r="57" spans="1:11" ht="19">
      <c r="A57" s="14" t="s">
        <v>71</v>
      </c>
      <c r="B57" s="191" t="s">
        <v>72</v>
      </c>
      <c r="C57" s="192"/>
      <c r="D57" s="12"/>
      <c r="E57" s="10"/>
      <c r="F57" s="104"/>
      <c r="G57" s="105"/>
      <c r="H57" s="105"/>
      <c r="I57" s="105"/>
      <c r="J57" s="10"/>
      <c r="K57" s="134"/>
    </row>
    <row r="58" spans="1:11" ht="19">
      <c r="A58" s="14" t="s">
        <v>73</v>
      </c>
      <c r="B58" s="191" t="s">
        <v>74</v>
      </c>
      <c r="C58" s="192"/>
      <c r="D58" s="12"/>
      <c r="E58" s="10"/>
      <c r="F58" s="104"/>
      <c r="G58" s="105"/>
      <c r="H58" s="105"/>
      <c r="I58" s="105"/>
      <c r="J58" s="10"/>
      <c r="K58" s="134"/>
    </row>
    <row r="59" spans="1:11" ht="19">
      <c r="A59" s="14" t="s">
        <v>75</v>
      </c>
      <c r="B59" s="191" t="s">
        <v>76</v>
      </c>
      <c r="C59" s="192"/>
      <c r="D59" s="12"/>
      <c r="E59" s="10"/>
      <c r="F59" s="104"/>
      <c r="G59" s="105"/>
      <c r="H59" s="105"/>
      <c r="I59" s="105"/>
      <c r="J59" s="10"/>
      <c r="K59" s="134"/>
    </row>
    <row r="60" spans="1:11" ht="19">
      <c r="A60" s="14" t="s">
        <v>77</v>
      </c>
      <c r="B60" s="191" t="s">
        <v>76</v>
      </c>
      <c r="C60" s="192"/>
      <c r="D60" s="12"/>
      <c r="E60" s="10"/>
      <c r="F60" s="104"/>
      <c r="G60" s="105"/>
      <c r="H60" s="105"/>
      <c r="I60" s="105"/>
      <c r="J60" s="10"/>
      <c r="K60" s="134"/>
    </row>
    <row r="61" spans="1:11" ht="19">
      <c r="A61" s="14" t="s">
        <v>78</v>
      </c>
      <c r="B61" s="191" t="s">
        <v>79</v>
      </c>
      <c r="C61" s="192"/>
      <c r="D61" s="12"/>
      <c r="E61" s="10"/>
      <c r="F61" s="104"/>
      <c r="G61" s="105"/>
      <c r="H61" s="105"/>
      <c r="I61" s="105"/>
      <c r="J61" s="10"/>
      <c r="K61" s="134"/>
    </row>
    <row r="62" spans="1:11" ht="19">
      <c r="A62" s="14" t="s">
        <v>80</v>
      </c>
      <c r="B62" s="191" t="s">
        <v>79</v>
      </c>
      <c r="C62" s="192"/>
      <c r="D62" s="12"/>
      <c r="E62" s="10"/>
      <c r="F62" s="104"/>
      <c r="G62" s="105"/>
      <c r="H62" s="105"/>
      <c r="I62" s="105"/>
      <c r="J62" s="10"/>
      <c r="K62" s="134"/>
    </row>
    <row r="63" spans="1:11" ht="19">
      <c r="A63" s="14" t="s">
        <v>81</v>
      </c>
      <c r="B63" s="191" t="s">
        <v>82</v>
      </c>
      <c r="C63" s="192"/>
      <c r="D63" s="12"/>
      <c r="E63" s="10"/>
      <c r="F63" s="104"/>
      <c r="G63" s="105"/>
      <c r="H63" s="105"/>
      <c r="I63" s="105"/>
      <c r="J63" s="10"/>
      <c r="K63" s="134"/>
    </row>
    <row r="64" spans="1:11" ht="19">
      <c r="A64" s="14" t="s">
        <v>83</v>
      </c>
      <c r="B64" s="191" t="s">
        <v>84</v>
      </c>
      <c r="C64" s="192"/>
      <c r="D64" s="12"/>
      <c r="E64" s="10"/>
      <c r="F64" s="104"/>
      <c r="G64" s="105"/>
      <c r="H64" s="105"/>
      <c r="I64" s="105"/>
      <c r="J64" s="10"/>
      <c r="K64" s="134"/>
    </row>
    <row r="65" spans="1:11" ht="19">
      <c r="A65" s="10"/>
      <c r="B65" s="10"/>
      <c r="C65" s="11"/>
      <c r="D65" s="12"/>
      <c r="E65" s="10"/>
      <c r="F65" s="104"/>
      <c r="G65" s="105"/>
      <c r="H65" s="105"/>
      <c r="I65" s="105"/>
      <c r="J65" s="10"/>
      <c r="K65" s="134"/>
    </row>
    <row r="66" spans="1:11" ht="19">
      <c r="A66" s="10"/>
      <c r="B66" s="10"/>
      <c r="C66" s="11"/>
      <c r="D66" s="12"/>
      <c r="E66" s="10"/>
      <c r="F66" s="104"/>
      <c r="G66" s="105"/>
      <c r="H66" s="105"/>
      <c r="I66" s="105"/>
      <c r="J66" s="10"/>
      <c r="K66" s="134"/>
    </row>
    <row r="67" spans="1:11" ht="19">
      <c r="A67" s="10"/>
      <c r="B67" s="10"/>
      <c r="C67" s="11"/>
      <c r="D67" s="12"/>
      <c r="E67" s="10"/>
      <c r="F67" s="104"/>
      <c r="G67" s="105"/>
      <c r="H67" s="105"/>
      <c r="I67" s="105"/>
      <c r="J67" s="10"/>
      <c r="K67" s="134"/>
    </row>
    <row r="68" spans="1:11" ht="19">
      <c r="A68" s="10"/>
      <c r="B68" s="10"/>
      <c r="C68" s="11"/>
      <c r="D68" s="12"/>
      <c r="E68" s="10"/>
      <c r="F68" s="104"/>
      <c r="G68" s="105"/>
      <c r="H68" s="105"/>
      <c r="I68" s="105"/>
      <c r="J68" s="10"/>
      <c r="K68" s="134"/>
    </row>
    <row r="69" spans="1:11" ht="19">
      <c r="A69" s="10"/>
      <c r="B69" s="10"/>
      <c r="C69" s="11"/>
      <c r="D69" s="12"/>
      <c r="E69" s="10"/>
      <c r="F69" s="104"/>
      <c r="G69" s="105"/>
      <c r="H69" s="105"/>
      <c r="I69" s="105"/>
      <c r="J69" s="10"/>
      <c r="K69" s="134"/>
    </row>
    <row r="70" spans="1:11" ht="19">
      <c r="A70" s="10"/>
      <c r="B70" s="10"/>
      <c r="C70" s="11"/>
      <c r="D70" s="12"/>
      <c r="E70" s="10"/>
      <c r="F70" s="104"/>
      <c r="G70" s="105"/>
      <c r="H70" s="105"/>
      <c r="I70" s="105"/>
      <c r="J70" s="10"/>
      <c r="K70" s="134"/>
    </row>
    <row r="71" spans="1:11" ht="19">
      <c r="A71" s="10"/>
      <c r="B71" s="10"/>
      <c r="C71" s="11"/>
      <c r="D71" s="12"/>
      <c r="E71" s="10"/>
      <c r="F71" s="104"/>
      <c r="G71" s="105"/>
      <c r="H71" s="105"/>
      <c r="I71" s="105"/>
      <c r="J71" s="10"/>
      <c r="K71" s="134"/>
    </row>
    <row r="72" spans="1:11" ht="19">
      <c r="A72" s="10"/>
      <c r="B72" s="10"/>
      <c r="C72" s="11"/>
      <c r="D72" s="12"/>
      <c r="E72" s="10"/>
      <c r="F72" s="104"/>
      <c r="G72" s="105"/>
      <c r="H72" s="105"/>
      <c r="I72" s="105"/>
      <c r="J72" s="10"/>
      <c r="K72" s="134"/>
    </row>
    <row r="73" spans="1:11" ht="19">
      <c r="A73" s="10"/>
      <c r="B73" s="10"/>
      <c r="C73" s="11"/>
      <c r="D73" s="12"/>
      <c r="E73" s="10"/>
      <c r="F73" s="104"/>
      <c r="G73" s="105"/>
      <c r="H73" s="105"/>
      <c r="I73" s="105"/>
      <c r="J73" s="10"/>
      <c r="K73" s="134"/>
    </row>
    <row r="74" spans="1:11">
      <c r="K74" s="121"/>
    </row>
  </sheetData>
  <mergeCells count="29">
    <mergeCell ref="B1:C1"/>
    <mergeCell ref="B3:C3"/>
    <mergeCell ref="B4:C4"/>
    <mergeCell ref="A16:A17"/>
    <mergeCell ref="B16:B17"/>
    <mergeCell ref="A34:K34"/>
    <mergeCell ref="D24:D25"/>
    <mergeCell ref="F24:F25"/>
    <mergeCell ref="G24:G25"/>
    <mergeCell ref="H24:H25"/>
    <mergeCell ref="I24:I25"/>
    <mergeCell ref="J24:J25"/>
    <mergeCell ref="B24:B25"/>
    <mergeCell ref="C24:C25"/>
    <mergeCell ref="K24:K25"/>
    <mergeCell ref="A27:A28"/>
    <mergeCell ref="B27:B28"/>
    <mergeCell ref="D27:D28"/>
    <mergeCell ref="A33:F33"/>
    <mergeCell ref="B61:C61"/>
    <mergeCell ref="B62:C62"/>
    <mergeCell ref="B63:C63"/>
    <mergeCell ref="B64:C64"/>
    <mergeCell ref="A36:B36"/>
    <mergeCell ref="B56:C56"/>
    <mergeCell ref="B57:C57"/>
    <mergeCell ref="B58:C58"/>
    <mergeCell ref="B59:C59"/>
    <mergeCell ref="B60:C6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E9A4-D856-1942-BA78-DFA7301DB43D}">
  <dimension ref="A1:K58"/>
  <sheetViews>
    <sheetView showGridLines="0" workbookViewId="0"/>
  </sheetViews>
  <sheetFormatPr baseColWidth="10" defaultRowHeight="16"/>
  <cols>
    <col min="1" max="1" width="29.33203125" bestFit="1" customWidth="1"/>
    <col min="2" max="2" width="65.1640625" bestFit="1" customWidth="1"/>
    <col min="3" max="3" width="19.83203125" bestFit="1" customWidth="1"/>
    <col min="4" max="4" width="18.1640625" bestFit="1" customWidth="1"/>
    <col min="5" max="5" width="11" bestFit="1" customWidth="1"/>
    <col min="6" max="6" width="10.33203125" bestFit="1" customWidth="1"/>
    <col min="7" max="7" width="11.6640625" bestFit="1" customWidth="1"/>
    <col min="8" max="8" width="8.6640625" bestFit="1" customWidth="1"/>
    <col min="9" max="9" width="8.1640625" bestFit="1" customWidth="1"/>
    <col min="10" max="10" width="14.6640625" customWidth="1"/>
    <col min="11" max="11" width="14.1640625" bestFit="1" customWidth="1"/>
  </cols>
  <sheetData>
    <row r="1" spans="1:11" ht="19">
      <c r="A1" s="152" t="s">
        <v>3</v>
      </c>
      <c r="B1" s="163" t="s">
        <v>609</v>
      </c>
      <c r="C1" s="164"/>
      <c r="D1" s="2"/>
      <c r="K1" s="121"/>
    </row>
    <row r="2" spans="1:11" ht="19">
      <c r="A2" s="152" t="s">
        <v>4</v>
      </c>
      <c r="B2" s="115" t="s">
        <v>687</v>
      </c>
      <c r="C2" s="116"/>
      <c r="D2" s="2"/>
      <c r="K2" s="121"/>
    </row>
    <row r="3" spans="1:11" ht="19">
      <c r="A3" s="152" t="s">
        <v>5</v>
      </c>
      <c r="B3" s="163" t="s">
        <v>608</v>
      </c>
      <c r="C3" s="164"/>
      <c r="D3" s="2"/>
      <c r="K3" s="121"/>
    </row>
    <row r="4" spans="1:11" ht="19">
      <c r="A4" s="3" t="s">
        <v>6</v>
      </c>
      <c r="B4" s="172" t="s">
        <v>8</v>
      </c>
      <c r="C4" s="164"/>
      <c r="D4" s="2"/>
      <c r="K4" s="121"/>
    </row>
    <row r="5" spans="1:11" ht="19">
      <c r="A5" s="4"/>
      <c r="B5" s="5"/>
      <c r="C5" s="6"/>
      <c r="D5" s="7"/>
      <c r="K5" s="121"/>
    </row>
    <row r="6" spans="1:11" ht="80">
      <c r="A6" s="31" t="s">
        <v>9</v>
      </c>
      <c r="B6" s="32" t="s">
        <v>10</v>
      </c>
      <c r="C6" s="32" t="s">
        <v>11</v>
      </c>
      <c r="D6" s="32" t="s">
        <v>12</v>
      </c>
      <c r="E6" s="32" t="s">
        <v>556</v>
      </c>
      <c r="F6" s="33" t="s">
        <v>557</v>
      </c>
      <c r="G6" s="34" t="s">
        <v>558</v>
      </c>
      <c r="H6" s="34" t="s">
        <v>559</v>
      </c>
      <c r="I6" s="35" t="s">
        <v>560</v>
      </c>
      <c r="J6" s="34" t="s">
        <v>561</v>
      </c>
      <c r="K6" s="156" t="s">
        <v>562</v>
      </c>
    </row>
    <row r="7" spans="1:11" ht="20">
      <c r="A7" s="36" t="s">
        <v>13</v>
      </c>
      <c r="B7" s="37"/>
      <c r="C7" s="38"/>
      <c r="D7" s="39"/>
      <c r="E7" s="37"/>
      <c r="F7" s="40"/>
      <c r="G7" s="41"/>
      <c r="H7" s="41"/>
      <c r="I7" s="41"/>
      <c r="J7" s="37"/>
      <c r="K7" s="122"/>
    </row>
    <row r="8" spans="1:11" ht="20">
      <c r="A8" s="56" t="s">
        <v>33</v>
      </c>
      <c r="B8" s="57"/>
      <c r="C8" s="58"/>
      <c r="D8" s="59"/>
      <c r="E8" s="59"/>
      <c r="F8" s="60"/>
      <c r="G8" s="61"/>
      <c r="H8" s="61"/>
      <c r="I8" s="62"/>
      <c r="J8" s="61"/>
      <c r="K8" s="125"/>
    </row>
    <row r="9" spans="1:11" ht="60">
      <c r="A9" s="177" t="s">
        <v>34</v>
      </c>
      <c r="B9" s="179" t="s">
        <v>607</v>
      </c>
      <c r="C9" s="63" t="s">
        <v>36</v>
      </c>
      <c r="D9" s="47" t="s">
        <v>37</v>
      </c>
      <c r="E9" s="47" t="s">
        <v>564</v>
      </c>
      <c r="F9" s="48">
        <v>5</v>
      </c>
      <c r="G9" s="64">
        <v>10000</v>
      </c>
      <c r="H9" s="64">
        <f t="shared" ref="H9:H10" si="0">G9*I9</f>
        <v>100</v>
      </c>
      <c r="I9" s="65">
        <v>0.01</v>
      </c>
      <c r="J9" s="51" t="s">
        <v>39</v>
      </c>
      <c r="K9" s="126">
        <f>F9*G9</f>
        <v>50000</v>
      </c>
    </row>
    <row r="10" spans="1:11" ht="19">
      <c r="A10" s="178"/>
      <c r="B10" s="180"/>
      <c r="C10" s="46" t="s">
        <v>689</v>
      </c>
      <c r="D10" s="47" t="s">
        <v>37</v>
      </c>
      <c r="E10" s="47" t="s">
        <v>565</v>
      </c>
      <c r="F10" s="48">
        <v>250</v>
      </c>
      <c r="G10" s="64">
        <v>0</v>
      </c>
      <c r="H10" s="64">
        <f t="shared" si="0"/>
        <v>0</v>
      </c>
      <c r="I10" s="65">
        <v>3.0000000000000001E-3</v>
      </c>
      <c r="J10" s="50" t="s">
        <v>39</v>
      </c>
      <c r="K10" s="126">
        <f>F10*G10</f>
        <v>0</v>
      </c>
    </row>
    <row r="11" spans="1:11" ht="20">
      <c r="A11" s="54" t="s">
        <v>44</v>
      </c>
      <c r="B11" s="75"/>
      <c r="C11" s="66"/>
      <c r="D11" s="67"/>
      <c r="E11" s="67"/>
      <c r="F11" s="76"/>
      <c r="G11" s="77"/>
      <c r="H11" s="77"/>
      <c r="I11" s="78"/>
      <c r="J11" s="77"/>
      <c r="K11" s="128"/>
    </row>
    <row r="12" spans="1:11" ht="40">
      <c r="A12" s="79" t="s">
        <v>45</v>
      </c>
      <c r="B12" s="80" t="s">
        <v>46</v>
      </c>
      <c r="C12" s="81" t="s">
        <v>47</v>
      </c>
      <c r="D12" s="73" t="s">
        <v>48</v>
      </c>
      <c r="E12" s="73" t="s">
        <v>563</v>
      </c>
      <c r="F12" s="74">
        <v>20</v>
      </c>
      <c r="G12" s="82">
        <v>3000</v>
      </c>
      <c r="H12" s="82">
        <f t="shared" ref="H12:H13" si="1">I12*G12</f>
        <v>5.3999999999999995</v>
      </c>
      <c r="I12" s="83">
        <v>1.8E-3</v>
      </c>
      <c r="J12" s="50" t="s">
        <v>39</v>
      </c>
      <c r="K12" s="126">
        <f>F12*G12</f>
        <v>60000</v>
      </c>
    </row>
    <row r="13" spans="1:11" ht="20">
      <c r="A13" s="79" t="s">
        <v>567</v>
      </c>
      <c r="B13" s="45" t="s">
        <v>568</v>
      </c>
      <c r="C13" s="46" t="s">
        <v>49</v>
      </c>
      <c r="D13" s="84" t="s">
        <v>37</v>
      </c>
      <c r="E13" s="53" t="s">
        <v>563</v>
      </c>
      <c r="F13" s="85">
        <v>6</v>
      </c>
      <c r="G13" s="82">
        <v>10000</v>
      </c>
      <c r="H13" s="86">
        <f t="shared" si="1"/>
        <v>350.00000000000006</v>
      </c>
      <c r="I13" s="65">
        <v>3.5000000000000003E-2</v>
      </c>
      <c r="J13" s="50" t="s">
        <v>39</v>
      </c>
      <c r="K13" s="126">
        <f>F13*G13</f>
        <v>60000</v>
      </c>
    </row>
    <row r="14" spans="1:11" ht="20">
      <c r="A14" s="54" t="s">
        <v>589</v>
      </c>
      <c r="B14" s="75"/>
      <c r="C14" s="66"/>
      <c r="D14" s="67"/>
      <c r="E14" s="67"/>
      <c r="F14" s="76"/>
      <c r="G14" s="77"/>
      <c r="H14" s="77"/>
      <c r="I14" s="78"/>
      <c r="J14" s="77"/>
      <c r="K14" s="128"/>
    </row>
    <row r="15" spans="1:11" ht="20">
      <c r="A15" s="117" t="s">
        <v>589</v>
      </c>
      <c r="B15" s="197" t="s">
        <v>590</v>
      </c>
      <c r="C15" s="199" t="s">
        <v>591</v>
      </c>
      <c r="D15" s="199" t="s">
        <v>37</v>
      </c>
      <c r="E15" s="118" t="s">
        <v>563</v>
      </c>
      <c r="F15" s="202">
        <v>20</v>
      </c>
      <c r="G15" s="204">
        <v>300000</v>
      </c>
      <c r="H15" s="204">
        <f t="shared" ref="H15" si="2">G15*I15</f>
        <v>2100</v>
      </c>
      <c r="I15" s="206">
        <v>7.0000000000000001E-3</v>
      </c>
      <c r="J15" s="208" t="s">
        <v>39</v>
      </c>
      <c r="K15" s="195">
        <v>50000</v>
      </c>
    </row>
    <row r="16" spans="1:11" ht="19">
      <c r="A16" s="119"/>
      <c r="B16" s="198"/>
      <c r="C16" s="200"/>
      <c r="D16" s="201"/>
      <c r="E16" s="153"/>
      <c r="F16" s="203"/>
      <c r="G16" s="205"/>
      <c r="H16" s="205"/>
      <c r="I16" s="207"/>
      <c r="J16" s="209"/>
      <c r="K16" s="196"/>
    </row>
    <row r="17" spans="1:11" ht="20">
      <c r="A17" s="36" t="s">
        <v>50</v>
      </c>
      <c r="B17" s="248"/>
      <c r="C17" s="38"/>
      <c r="D17" s="39"/>
      <c r="E17" s="37"/>
      <c r="F17" s="40"/>
      <c r="G17" s="41"/>
      <c r="H17" s="41"/>
      <c r="I17" s="41"/>
      <c r="J17" s="37"/>
      <c r="K17" s="122"/>
    </row>
    <row r="18" spans="1:11" ht="60">
      <c r="A18" s="250" t="s">
        <v>688</v>
      </c>
      <c r="B18" s="249" t="s">
        <v>607</v>
      </c>
      <c r="C18" s="9"/>
      <c r="D18" s="9"/>
      <c r="E18" s="9"/>
      <c r="F18" s="96" t="s">
        <v>573</v>
      </c>
      <c r="G18" s="96" t="s">
        <v>574</v>
      </c>
      <c r="H18" s="9"/>
      <c r="I18" s="9"/>
      <c r="J18" s="9"/>
      <c r="K18" s="132"/>
    </row>
    <row r="19" spans="1:11" ht="20">
      <c r="A19" s="251"/>
      <c r="B19" s="80" t="s">
        <v>55</v>
      </c>
      <c r="C19" s="87" t="s">
        <v>56</v>
      </c>
      <c r="D19" s="84" t="s">
        <v>22</v>
      </c>
      <c r="E19" s="72" t="s">
        <v>575</v>
      </c>
      <c r="F19" s="94">
        <v>2500</v>
      </c>
      <c r="G19" s="99">
        <f>K19/2</f>
        <v>37500</v>
      </c>
      <c r="H19" s="100"/>
      <c r="I19" s="101"/>
      <c r="J19" s="101"/>
      <c r="K19" s="95">
        <f>F19*30</f>
        <v>75000</v>
      </c>
    </row>
    <row r="20" spans="1:11" ht="20">
      <c r="A20" s="252"/>
      <c r="B20" s="80" t="s">
        <v>57</v>
      </c>
      <c r="C20" s="81" t="s">
        <v>56</v>
      </c>
      <c r="D20" s="73" t="s">
        <v>22</v>
      </c>
      <c r="E20" s="102" t="s">
        <v>575</v>
      </c>
      <c r="F20" s="94">
        <v>4000</v>
      </c>
      <c r="G20" s="99">
        <f>K20/10</f>
        <v>12000</v>
      </c>
      <c r="H20" s="100"/>
      <c r="I20" s="101"/>
      <c r="J20" s="101"/>
      <c r="K20" s="95">
        <f>F20*30</f>
        <v>120000</v>
      </c>
    </row>
    <row r="21" spans="1:11" ht="19">
      <c r="A21" s="181" t="s">
        <v>7</v>
      </c>
      <c r="B21" s="182"/>
      <c r="C21" s="182"/>
      <c r="D21" s="182"/>
      <c r="E21" s="182"/>
      <c r="F21" s="183"/>
      <c r="G21" s="103">
        <f>SUM(G8:G20)</f>
        <v>372500</v>
      </c>
      <c r="H21" s="103">
        <f>SUM(H8:H20)</f>
        <v>2555.4</v>
      </c>
      <c r="I21" s="103"/>
      <c r="J21" s="103">
        <f>SUM(J8:J20)</f>
        <v>0</v>
      </c>
      <c r="K21" s="133">
        <f>SUM(K8:K20)</f>
        <v>415000</v>
      </c>
    </row>
    <row r="22" spans="1:11" ht="19">
      <c r="A22" s="184" t="s">
        <v>58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6"/>
    </row>
    <row r="23" spans="1:11" ht="19">
      <c r="A23" s="10"/>
      <c r="B23" s="10"/>
      <c r="C23" s="11"/>
      <c r="D23" s="12"/>
      <c r="E23" s="10"/>
      <c r="F23" s="104" t="s">
        <v>576</v>
      </c>
      <c r="G23" s="105"/>
      <c r="H23" s="105"/>
      <c r="I23" s="105"/>
      <c r="J23" s="10"/>
      <c r="K23" s="134"/>
    </row>
    <row r="24" spans="1:11" ht="19">
      <c r="A24" s="187" t="s">
        <v>577</v>
      </c>
      <c r="B24" s="188"/>
      <c r="C24" s="11"/>
      <c r="D24" s="12"/>
      <c r="E24" s="10"/>
      <c r="F24" s="104"/>
      <c r="G24" s="105"/>
      <c r="H24" s="105"/>
      <c r="I24" s="105"/>
      <c r="J24" s="10"/>
      <c r="K24" s="134"/>
    </row>
    <row r="25" spans="1:11" ht="19">
      <c r="A25" s="106" t="s">
        <v>558</v>
      </c>
      <c r="B25" s="107">
        <f>G21</f>
        <v>372500</v>
      </c>
      <c r="C25" s="11"/>
      <c r="D25" s="12"/>
      <c r="E25" s="10"/>
      <c r="F25" s="104"/>
      <c r="G25" s="105"/>
      <c r="H25" s="105"/>
      <c r="I25" s="105"/>
      <c r="J25" s="10"/>
      <c r="K25" s="134"/>
    </row>
    <row r="26" spans="1:11" ht="19">
      <c r="A26" s="106" t="s">
        <v>559</v>
      </c>
      <c r="B26" s="107">
        <f>H21</f>
        <v>2555.4</v>
      </c>
      <c r="C26" s="11"/>
      <c r="D26" s="12"/>
      <c r="E26" s="10"/>
      <c r="F26" s="104"/>
      <c r="G26" s="105"/>
      <c r="H26" s="105"/>
      <c r="I26" s="105"/>
      <c r="J26" s="10"/>
      <c r="K26" s="134"/>
    </row>
    <row r="27" spans="1:11" ht="19">
      <c r="A27" s="106" t="s">
        <v>578</v>
      </c>
      <c r="B27" s="108"/>
      <c r="C27" s="11"/>
      <c r="D27" s="12"/>
      <c r="E27" s="10"/>
      <c r="F27" s="104"/>
      <c r="G27" s="105"/>
      <c r="H27" s="105"/>
      <c r="I27" s="105"/>
      <c r="J27" s="10"/>
      <c r="K27" s="134"/>
    </row>
    <row r="28" spans="1:11" ht="19">
      <c r="A28" s="106" t="s">
        <v>579</v>
      </c>
      <c r="B28" s="108">
        <f>G20</f>
        <v>12000</v>
      </c>
      <c r="C28" s="11"/>
      <c r="D28" s="12"/>
      <c r="E28" s="10"/>
      <c r="F28" s="104"/>
      <c r="G28" s="105"/>
      <c r="H28" s="105"/>
      <c r="I28" s="105"/>
      <c r="J28" s="10"/>
      <c r="K28" s="134"/>
    </row>
    <row r="29" spans="1:11" ht="19">
      <c r="A29" s="106" t="s">
        <v>580</v>
      </c>
      <c r="B29" s="108">
        <f>G19</f>
        <v>37500</v>
      </c>
      <c r="C29" s="11"/>
      <c r="D29" s="12"/>
      <c r="E29" s="10"/>
      <c r="F29" s="104"/>
      <c r="G29" s="105"/>
      <c r="H29" s="105"/>
      <c r="I29" s="105"/>
      <c r="J29" s="10"/>
      <c r="K29" s="134"/>
    </row>
    <row r="30" spans="1:11" ht="19">
      <c r="A30" s="13" t="s">
        <v>584</v>
      </c>
      <c r="B30" s="13" t="s">
        <v>585</v>
      </c>
      <c r="C30" s="11"/>
      <c r="D30" s="12"/>
      <c r="E30" s="10"/>
      <c r="F30" s="104"/>
      <c r="G30" s="105"/>
      <c r="H30" s="105"/>
      <c r="I30" s="105"/>
      <c r="J30" s="10"/>
      <c r="K30" s="134"/>
    </row>
    <row r="31" spans="1:11" ht="19">
      <c r="A31" s="10"/>
      <c r="B31" s="14"/>
      <c r="C31" s="11"/>
      <c r="D31" s="12"/>
      <c r="E31" s="10"/>
      <c r="F31" s="104"/>
      <c r="G31" s="105"/>
      <c r="H31" s="105"/>
      <c r="I31" s="105"/>
      <c r="J31" s="10"/>
      <c r="K31" s="134"/>
    </row>
    <row r="32" spans="1:11" ht="19">
      <c r="A32" s="13" t="s">
        <v>59</v>
      </c>
      <c r="B32" s="13" t="s">
        <v>60</v>
      </c>
      <c r="C32" s="11"/>
      <c r="D32" s="12"/>
      <c r="E32" s="10"/>
      <c r="F32" s="104"/>
      <c r="G32" s="105"/>
      <c r="H32" s="105"/>
      <c r="I32" s="105"/>
      <c r="J32" s="10"/>
      <c r="K32" s="134"/>
    </row>
    <row r="33" spans="1:11" ht="19">
      <c r="A33" s="14" t="s">
        <v>61</v>
      </c>
      <c r="B33" s="14" t="s">
        <v>62</v>
      </c>
      <c r="C33" s="11"/>
      <c r="D33" s="12"/>
      <c r="E33" s="10"/>
      <c r="F33" s="104"/>
      <c r="G33" s="105"/>
      <c r="H33" s="105"/>
      <c r="I33" s="105"/>
      <c r="J33" s="10"/>
      <c r="K33" s="134"/>
    </row>
    <row r="34" spans="1:11" ht="19">
      <c r="A34" s="14" t="s">
        <v>63</v>
      </c>
      <c r="B34" s="14" t="s">
        <v>64</v>
      </c>
      <c r="C34" s="11"/>
      <c r="D34" s="12"/>
      <c r="E34" s="10"/>
      <c r="F34" s="104"/>
      <c r="G34" s="105"/>
      <c r="H34" s="105"/>
      <c r="I34" s="105"/>
      <c r="J34" s="10"/>
      <c r="K34" s="134"/>
    </row>
    <row r="35" spans="1:11" ht="19">
      <c r="A35" s="14" t="s">
        <v>65</v>
      </c>
      <c r="B35" s="14" t="s">
        <v>0</v>
      </c>
      <c r="C35" s="11"/>
      <c r="D35" s="12"/>
      <c r="E35" s="10"/>
      <c r="F35" s="104"/>
      <c r="G35" s="105"/>
      <c r="H35" s="105"/>
      <c r="I35" s="105"/>
      <c r="J35" s="10"/>
      <c r="K35" s="134"/>
    </row>
    <row r="36" spans="1:11" ht="19">
      <c r="A36" s="14" t="s">
        <v>66</v>
      </c>
      <c r="B36" s="14" t="s">
        <v>39</v>
      </c>
      <c r="C36" s="11"/>
      <c r="D36" s="12"/>
      <c r="E36" s="10"/>
      <c r="F36" s="104"/>
      <c r="G36" s="105"/>
      <c r="H36" s="105"/>
      <c r="I36" s="105"/>
      <c r="J36" s="10"/>
      <c r="K36" s="134"/>
    </row>
    <row r="37" spans="1:11" ht="19">
      <c r="A37" s="14" t="s">
        <v>67</v>
      </c>
      <c r="B37" s="14" t="s">
        <v>0</v>
      </c>
      <c r="C37" s="11"/>
      <c r="D37" s="12"/>
      <c r="E37" s="10"/>
      <c r="F37" s="104"/>
      <c r="G37" s="105"/>
      <c r="H37" s="105"/>
      <c r="I37" s="105"/>
      <c r="J37" s="10"/>
      <c r="K37" s="134"/>
    </row>
    <row r="38" spans="1:11" ht="19">
      <c r="A38" s="14" t="s">
        <v>68</v>
      </c>
      <c r="B38" s="14" t="s">
        <v>69</v>
      </c>
      <c r="C38" s="11"/>
      <c r="D38" s="12"/>
      <c r="E38" s="10"/>
      <c r="F38" s="104"/>
      <c r="G38" s="105"/>
      <c r="H38" s="105"/>
      <c r="I38" s="105"/>
      <c r="J38" s="10"/>
      <c r="K38" s="134"/>
    </row>
    <row r="39" spans="1:11" ht="19">
      <c r="A39" s="10"/>
      <c r="B39" s="10"/>
      <c r="C39" s="11"/>
      <c r="D39" s="12"/>
      <c r="E39" s="10"/>
      <c r="F39" s="104"/>
      <c r="G39" s="105"/>
      <c r="H39" s="105"/>
      <c r="I39" s="105"/>
      <c r="J39" s="10"/>
      <c r="K39" s="134"/>
    </row>
    <row r="40" spans="1:11" ht="19">
      <c r="A40" s="15" t="s">
        <v>70</v>
      </c>
      <c r="B40" s="193"/>
      <c r="C40" s="194"/>
      <c r="D40" s="12"/>
      <c r="E40" s="10"/>
      <c r="F40" s="104"/>
      <c r="G40" s="105"/>
      <c r="H40" s="105"/>
      <c r="I40" s="105"/>
      <c r="J40" s="10"/>
      <c r="K40" s="134"/>
    </row>
    <row r="41" spans="1:11" ht="19">
      <c r="A41" s="14" t="s">
        <v>71</v>
      </c>
      <c r="B41" s="191" t="s">
        <v>72</v>
      </c>
      <c r="C41" s="192"/>
      <c r="D41" s="12"/>
      <c r="E41" s="10"/>
      <c r="F41" s="104"/>
      <c r="G41" s="105"/>
      <c r="H41" s="105"/>
      <c r="I41" s="105"/>
      <c r="J41" s="10"/>
      <c r="K41" s="134"/>
    </row>
    <row r="42" spans="1:11" ht="19">
      <c r="A42" s="14" t="s">
        <v>73</v>
      </c>
      <c r="B42" s="191" t="s">
        <v>74</v>
      </c>
      <c r="C42" s="192"/>
      <c r="D42" s="12"/>
      <c r="E42" s="10"/>
      <c r="F42" s="104"/>
      <c r="G42" s="105"/>
      <c r="H42" s="105"/>
      <c r="I42" s="105"/>
      <c r="J42" s="10"/>
      <c r="K42" s="134"/>
    </row>
    <row r="43" spans="1:11" ht="19">
      <c r="A43" s="14" t="s">
        <v>75</v>
      </c>
      <c r="B43" s="191" t="s">
        <v>76</v>
      </c>
      <c r="C43" s="192"/>
      <c r="D43" s="12"/>
      <c r="E43" s="10"/>
      <c r="F43" s="104"/>
      <c r="G43" s="105"/>
      <c r="H43" s="105"/>
      <c r="I43" s="105"/>
      <c r="J43" s="10"/>
      <c r="K43" s="134"/>
    </row>
    <row r="44" spans="1:11" ht="19">
      <c r="A44" s="14" t="s">
        <v>77</v>
      </c>
      <c r="B44" s="191" t="s">
        <v>76</v>
      </c>
      <c r="C44" s="192"/>
      <c r="D44" s="12"/>
      <c r="E44" s="10"/>
      <c r="F44" s="104"/>
      <c r="G44" s="105"/>
      <c r="H44" s="105"/>
      <c r="I44" s="105"/>
      <c r="J44" s="10"/>
      <c r="K44" s="134"/>
    </row>
    <row r="45" spans="1:11" ht="19">
      <c r="A45" s="14" t="s">
        <v>78</v>
      </c>
      <c r="B45" s="191" t="s">
        <v>79</v>
      </c>
      <c r="C45" s="192"/>
      <c r="D45" s="12"/>
      <c r="E45" s="10"/>
      <c r="F45" s="104"/>
      <c r="G45" s="105"/>
      <c r="H45" s="105"/>
      <c r="I45" s="105"/>
      <c r="J45" s="10"/>
      <c r="K45" s="134"/>
    </row>
    <row r="46" spans="1:11" ht="19">
      <c r="A46" s="14" t="s">
        <v>80</v>
      </c>
      <c r="B46" s="191" t="s">
        <v>79</v>
      </c>
      <c r="C46" s="192"/>
      <c r="D46" s="12"/>
      <c r="E46" s="10"/>
      <c r="F46" s="104"/>
      <c r="G46" s="105"/>
      <c r="H46" s="105"/>
      <c r="I46" s="105"/>
      <c r="J46" s="10"/>
      <c r="K46" s="134"/>
    </row>
    <row r="47" spans="1:11" ht="19">
      <c r="A47" s="14" t="s">
        <v>81</v>
      </c>
      <c r="B47" s="191" t="s">
        <v>82</v>
      </c>
      <c r="C47" s="192"/>
      <c r="D47" s="12"/>
      <c r="E47" s="10"/>
      <c r="F47" s="104"/>
      <c r="G47" s="105"/>
      <c r="H47" s="105"/>
      <c r="I47" s="105"/>
      <c r="J47" s="10"/>
      <c r="K47" s="134"/>
    </row>
    <row r="48" spans="1:11" ht="19">
      <c r="A48" s="14" t="s">
        <v>83</v>
      </c>
      <c r="B48" s="191" t="s">
        <v>84</v>
      </c>
      <c r="C48" s="192"/>
      <c r="D48" s="12"/>
      <c r="E48" s="10"/>
      <c r="F48" s="104"/>
      <c r="G48" s="105"/>
      <c r="H48" s="105"/>
      <c r="I48" s="105"/>
      <c r="J48" s="10"/>
      <c r="K48" s="134"/>
    </row>
    <row r="49" spans="1:11" ht="19">
      <c r="A49" s="10"/>
      <c r="B49" s="10"/>
      <c r="C49" s="11"/>
      <c r="D49" s="12"/>
      <c r="E49" s="10"/>
      <c r="F49" s="104"/>
      <c r="G49" s="105"/>
      <c r="H49" s="105"/>
      <c r="I49" s="105"/>
      <c r="J49" s="10"/>
      <c r="K49" s="134"/>
    </row>
    <row r="50" spans="1:11" ht="19">
      <c r="A50" s="10"/>
      <c r="B50" s="10"/>
      <c r="C50" s="11"/>
      <c r="D50" s="12"/>
      <c r="E50" s="10"/>
      <c r="F50" s="104"/>
      <c r="G50" s="105"/>
      <c r="H50" s="105"/>
      <c r="I50" s="105"/>
      <c r="J50" s="10"/>
      <c r="K50" s="134"/>
    </row>
    <row r="51" spans="1:11" ht="19">
      <c r="A51" s="10"/>
      <c r="B51" s="10"/>
      <c r="C51" s="11"/>
      <c r="D51" s="12"/>
      <c r="E51" s="10"/>
      <c r="F51" s="104"/>
      <c r="G51" s="105"/>
      <c r="H51" s="105"/>
      <c r="I51" s="105"/>
      <c r="J51" s="10"/>
      <c r="K51" s="134"/>
    </row>
    <row r="52" spans="1:11" ht="19">
      <c r="A52" s="10"/>
      <c r="B52" s="10"/>
      <c r="C52" s="11"/>
      <c r="D52" s="12"/>
      <c r="E52" s="10"/>
      <c r="F52" s="104"/>
      <c r="G52" s="105"/>
      <c r="H52" s="105"/>
      <c r="I52" s="105"/>
      <c r="J52" s="10"/>
      <c r="K52" s="134"/>
    </row>
    <row r="53" spans="1:11" ht="19">
      <c r="A53" s="10"/>
      <c r="B53" s="10"/>
      <c r="C53" s="11"/>
      <c r="D53" s="12"/>
      <c r="E53" s="10"/>
      <c r="F53" s="104"/>
      <c r="G53" s="105"/>
      <c r="H53" s="105"/>
      <c r="I53" s="105"/>
      <c r="J53" s="10"/>
      <c r="K53" s="134"/>
    </row>
    <row r="54" spans="1:11" ht="19">
      <c r="A54" s="10"/>
      <c r="B54" s="10"/>
      <c r="C54" s="11"/>
      <c r="D54" s="12"/>
      <c r="E54" s="10"/>
      <c r="F54" s="104"/>
      <c r="G54" s="105"/>
      <c r="H54" s="105"/>
      <c r="I54" s="105"/>
      <c r="J54" s="10"/>
      <c r="K54" s="134"/>
    </row>
    <row r="55" spans="1:11" ht="19">
      <c r="A55" s="10"/>
      <c r="B55" s="10"/>
      <c r="C55" s="11"/>
      <c r="D55" s="12"/>
      <c r="E55" s="10"/>
      <c r="F55" s="104"/>
      <c r="G55" s="105"/>
      <c r="H55" s="105"/>
      <c r="I55" s="105"/>
      <c r="J55" s="10"/>
      <c r="K55" s="134"/>
    </row>
    <row r="56" spans="1:11" ht="19">
      <c r="A56" s="10"/>
      <c r="B56" s="10"/>
      <c r="C56" s="11"/>
      <c r="D56" s="12"/>
      <c r="E56" s="10"/>
      <c r="F56" s="104"/>
      <c r="G56" s="105"/>
      <c r="H56" s="105"/>
      <c r="I56" s="105"/>
      <c r="J56" s="10"/>
      <c r="K56" s="134"/>
    </row>
    <row r="57" spans="1:11" ht="19">
      <c r="A57" s="10"/>
      <c r="B57" s="10"/>
      <c r="C57" s="11"/>
      <c r="D57" s="12"/>
      <c r="E57" s="10"/>
      <c r="F57" s="104"/>
      <c r="G57" s="105"/>
      <c r="H57" s="105"/>
      <c r="I57" s="105"/>
      <c r="J57" s="10"/>
      <c r="K57" s="134"/>
    </row>
    <row r="58" spans="1:11">
      <c r="K58" s="121"/>
    </row>
  </sheetData>
  <mergeCells count="27">
    <mergeCell ref="B1:C1"/>
    <mergeCell ref="B3:C3"/>
    <mergeCell ref="B4:C4"/>
    <mergeCell ref="A9:A10"/>
    <mergeCell ref="B9:B10"/>
    <mergeCell ref="A22:K22"/>
    <mergeCell ref="D15:D16"/>
    <mergeCell ref="F15:F16"/>
    <mergeCell ref="G15:G16"/>
    <mergeCell ref="H15:H16"/>
    <mergeCell ref="I15:I16"/>
    <mergeCell ref="J15:J16"/>
    <mergeCell ref="B15:B16"/>
    <mergeCell ref="C15:C16"/>
    <mergeCell ref="A18:A20"/>
    <mergeCell ref="K15:K16"/>
    <mergeCell ref="A21:F21"/>
    <mergeCell ref="B45:C45"/>
    <mergeCell ref="B46:C46"/>
    <mergeCell ref="B47:C47"/>
    <mergeCell ref="B48:C48"/>
    <mergeCell ref="A24:B24"/>
    <mergeCell ref="B40:C40"/>
    <mergeCell ref="B41:C41"/>
    <mergeCell ref="B42:C42"/>
    <mergeCell ref="B43:C43"/>
    <mergeCell ref="B44:C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025E-E3D3-6043-962C-23CAD3C5AA11}">
  <dimension ref="A1:D88"/>
  <sheetViews>
    <sheetView showGridLines="0" workbookViewId="0"/>
  </sheetViews>
  <sheetFormatPr baseColWidth="10" defaultRowHeight="16"/>
  <cols>
    <col min="1" max="1" width="46.83203125" bestFit="1" customWidth="1"/>
    <col min="2" max="2" width="27.83203125" bestFit="1" customWidth="1"/>
  </cols>
  <sheetData>
    <row r="1" spans="1:4" ht="19">
      <c r="A1" s="213" t="s">
        <v>3</v>
      </c>
      <c r="B1" s="214" t="s">
        <v>603</v>
      </c>
      <c r="C1" s="215"/>
      <c r="D1" s="215"/>
    </row>
    <row r="2" spans="1:4" ht="19">
      <c r="A2" s="216" t="s">
        <v>4</v>
      </c>
      <c r="B2" s="217" t="s">
        <v>622</v>
      </c>
      <c r="C2" s="215"/>
      <c r="D2" s="215"/>
    </row>
    <row r="3" spans="1:4" ht="20" thickBot="1">
      <c r="A3" s="218" t="s">
        <v>6</v>
      </c>
      <c r="B3" s="219" t="s">
        <v>555</v>
      </c>
      <c r="C3" s="215"/>
      <c r="D3" s="215"/>
    </row>
    <row r="4" spans="1:4" ht="20" thickBot="1">
      <c r="A4" s="215"/>
      <c r="B4" s="215"/>
      <c r="C4" s="215"/>
      <c r="D4" s="215"/>
    </row>
    <row r="5" spans="1:4" ht="20" thickBot="1">
      <c r="A5" s="220" t="s">
        <v>1</v>
      </c>
      <c r="B5" s="234"/>
      <c r="C5" s="215"/>
      <c r="D5" s="215"/>
    </row>
    <row r="6" spans="1:4" ht="19">
      <c r="A6" s="235" t="s">
        <v>623</v>
      </c>
      <c r="B6" s="236" t="s">
        <v>0</v>
      </c>
      <c r="C6" s="215"/>
      <c r="D6" s="215"/>
    </row>
    <row r="7" spans="1:4" ht="19">
      <c r="A7" s="235" t="s">
        <v>624</v>
      </c>
      <c r="B7" s="236" t="s">
        <v>0</v>
      </c>
      <c r="C7" s="215"/>
      <c r="D7" s="215"/>
    </row>
    <row r="8" spans="1:4" ht="19">
      <c r="A8" s="237" t="s">
        <v>625</v>
      </c>
      <c r="B8" s="238" t="s">
        <v>0</v>
      </c>
      <c r="C8" s="215"/>
      <c r="D8" s="215"/>
    </row>
    <row r="9" spans="1:4" ht="19">
      <c r="A9" s="237" t="s">
        <v>626</v>
      </c>
      <c r="B9" s="238" t="s">
        <v>0</v>
      </c>
      <c r="C9" s="215"/>
      <c r="D9" s="215"/>
    </row>
    <row r="10" spans="1:4" ht="19">
      <c r="A10" s="237" t="s">
        <v>627</v>
      </c>
      <c r="B10" s="238" t="s">
        <v>0</v>
      </c>
      <c r="C10" s="215"/>
      <c r="D10" s="215"/>
    </row>
    <row r="11" spans="1:4" ht="19">
      <c r="A11" s="237" t="s">
        <v>628</v>
      </c>
      <c r="B11" s="239" t="s">
        <v>629</v>
      </c>
      <c r="C11" s="215"/>
      <c r="D11" s="215"/>
    </row>
    <row r="12" spans="1:4" ht="20" thickBot="1">
      <c r="A12" s="240" t="s">
        <v>630</v>
      </c>
      <c r="B12" s="241" t="s">
        <v>629</v>
      </c>
      <c r="C12" s="215"/>
      <c r="D12" s="215"/>
    </row>
    <row r="13" spans="1:4" ht="20" thickBot="1">
      <c r="A13" s="242"/>
      <c r="B13" s="243"/>
      <c r="C13" s="215"/>
      <c r="D13" s="215"/>
    </row>
    <row r="14" spans="1:4" ht="20" thickBot="1">
      <c r="A14" s="220" t="s">
        <v>631</v>
      </c>
      <c r="B14" s="234" t="s">
        <v>632</v>
      </c>
      <c r="C14" s="215"/>
      <c r="D14" s="215"/>
    </row>
    <row r="15" spans="1:4" ht="19">
      <c r="A15" s="235" t="s">
        <v>633</v>
      </c>
      <c r="B15" s="236" t="s">
        <v>0</v>
      </c>
      <c r="C15" s="215"/>
      <c r="D15" s="215"/>
    </row>
    <row r="16" spans="1:4" ht="19">
      <c r="A16" s="237" t="s">
        <v>634</v>
      </c>
      <c r="B16" s="236" t="s">
        <v>0</v>
      </c>
      <c r="C16" s="215"/>
      <c r="D16" s="215"/>
    </row>
    <row r="17" spans="1:4" ht="19">
      <c r="A17" s="237" t="s">
        <v>635</v>
      </c>
      <c r="B17" s="236" t="s">
        <v>0</v>
      </c>
      <c r="C17" s="215"/>
      <c r="D17" s="215"/>
    </row>
    <row r="18" spans="1:4" ht="19">
      <c r="A18" s="237" t="s">
        <v>636</v>
      </c>
      <c r="B18" s="236" t="s">
        <v>0</v>
      </c>
      <c r="C18" s="215"/>
      <c r="D18" s="215"/>
    </row>
    <row r="19" spans="1:4" ht="19">
      <c r="A19" s="237" t="s">
        <v>637</v>
      </c>
      <c r="B19" s="236" t="s">
        <v>0</v>
      </c>
      <c r="C19" s="215"/>
      <c r="D19" s="215"/>
    </row>
    <row r="20" spans="1:4" ht="19">
      <c r="A20" s="237" t="s">
        <v>638</v>
      </c>
      <c r="B20" s="236" t="s">
        <v>0</v>
      </c>
      <c r="C20" s="215"/>
      <c r="D20" s="215"/>
    </row>
    <row r="21" spans="1:4" ht="19">
      <c r="A21" s="237" t="s">
        <v>639</v>
      </c>
      <c r="B21" s="236" t="s">
        <v>0</v>
      </c>
      <c r="C21" s="215"/>
      <c r="D21" s="215"/>
    </row>
    <row r="22" spans="1:4" ht="19">
      <c r="A22" s="237" t="s">
        <v>640</v>
      </c>
      <c r="B22" s="236" t="s">
        <v>0</v>
      </c>
      <c r="C22" s="215"/>
      <c r="D22" s="215"/>
    </row>
    <row r="23" spans="1:4" ht="19">
      <c r="A23" s="237" t="s">
        <v>641</v>
      </c>
      <c r="B23" s="236" t="s">
        <v>0</v>
      </c>
      <c r="C23" s="215"/>
      <c r="D23" s="215"/>
    </row>
    <row r="24" spans="1:4" ht="19">
      <c r="A24" s="237" t="s">
        <v>642</v>
      </c>
      <c r="B24" s="236" t="s">
        <v>0</v>
      </c>
      <c r="C24" s="215"/>
      <c r="D24" s="215"/>
    </row>
    <row r="25" spans="1:4" ht="19">
      <c r="A25" s="237" t="s">
        <v>643</v>
      </c>
      <c r="B25" s="236" t="s">
        <v>0</v>
      </c>
      <c r="C25" s="215"/>
      <c r="D25" s="215"/>
    </row>
    <row r="26" spans="1:4" ht="19">
      <c r="A26" s="237" t="s">
        <v>644</v>
      </c>
      <c r="B26" s="236" t="s">
        <v>0</v>
      </c>
      <c r="C26" s="215"/>
      <c r="D26" s="215"/>
    </row>
    <row r="27" spans="1:4" ht="19">
      <c r="A27" s="237" t="s">
        <v>645</v>
      </c>
      <c r="B27" s="236" t="s">
        <v>0</v>
      </c>
      <c r="C27" s="215"/>
      <c r="D27" s="215"/>
    </row>
    <row r="28" spans="1:4" ht="19">
      <c r="A28" s="237" t="s">
        <v>646</v>
      </c>
      <c r="B28" s="236" t="s">
        <v>0</v>
      </c>
      <c r="C28" s="215"/>
      <c r="D28" s="215"/>
    </row>
    <row r="29" spans="1:4" ht="19">
      <c r="A29" s="237" t="s">
        <v>647</v>
      </c>
      <c r="B29" s="236" t="s">
        <v>0</v>
      </c>
      <c r="C29" s="215"/>
      <c r="D29" s="215"/>
    </row>
    <row r="30" spans="1:4" ht="20" thickBot="1">
      <c r="A30" s="240" t="s">
        <v>648</v>
      </c>
      <c r="B30" s="244" t="s">
        <v>0</v>
      </c>
      <c r="C30" s="215"/>
      <c r="D30" s="215"/>
    </row>
    <row r="31" spans="1:4" ht="20" thickBot="1">
      <c r="A31" s="242"/>
      <c r="B31" s="243"/>
      <c r="C31" s="215"/>
      <c r="D31" s="215"/>
    </row>
    <row r="32" spans="1:4" ht="20" thickBot="1">
      <c r="A32" s="220" t="s">
        <v>649</v>
      </c>
      <c r="B32" s="234" t="s">
        <v>632</v>
      </c>
      <c r="C32" s="215"/>
      <c r="D32" s="215"/>
    </row>
    <row r="33" spans="1:4" ht="19">
      <c r="A33" s="235" t="s">
        <v>650</v>
      </c>
      <c r="B33" s="236" t="s">
        <v>0</v>
      </c>
      <c r="C33" s="215"/>
      <c r="D33" s="215"/>
    </row>
    <row r="34" spans="1:4" ht="19">
      <c r="A34" s="237" t="s">
        <v>651</v>
      </c>
      <c r="B34" s="236" t="s">
        <v>0</v>
      </c>
      <c r="C34" s="215"/>
      <c r="D34" s="215"/>
    </row>
    <row r="35" spans="1:4" ht="20" thickBot="1">
      <c r="A35" s="240" t="s">
        <v>652</v>
      </c>
      <c r="B35" s="244" t="s">
        <v>0</v>
      </c>
      <c r="C35" s="215"/>
      <c r="D35" s="215"/>
    </row>
    <row r="36" spans="1:4" ht="20" thickBot="1">
      <c r="A36" s="242"/>
      <c r="B36" s="243"/>
      <c r="C36" s="215"/>
      <c r="D36" s="215"/>
    </row>
    <row r="37" spans="1:4" ht="20" thickBot="1">
      <c r="A37" s="220" t="s">
        <v>653</v>
      </c>
      <c r="B37" s="234" t="s">
        <v>632</v>
      </c>
      <c r="C37" s="215"/>
      <c r="D37" s="215"/>
    </row>
    <row r="38" spans="1:4" ht="19">
      <c r="A38" s="235" t="s">
        <v>654</v>
      </c>
      <c r="B38" s="236" t="s">
        <v>0</v>
      </c>
      <c r="C38" s="215"/>
      <c r="D38" s="215"/>
    </row>
    <row r="39" spans="1:4" ht="19">
      <c r="A39" s="237" t="s">
        <v>655</v>
      </c>
      <c r="B39" s="236" t="s">
        <v>0</v>
      </c>
      <c r="C39" s="215"/>
      <c r="D39" s="215"/>
    </row>
    <row r="40" spans="1:4" ht="19">
      <c r="A40" s="237" t="s">
        <v>656</v>
      </c>
      <c r="B40" s="236" t="s">
        <v>0</v>
      </c>
      <c r="C40" s="215"/>
      <c r="D40" s="215"/>
    </row>
    <row r="41" spans="1:4" ht="19">
      <c r="A41" s="237" t="s">
        <v>657</v>
      </c>
      <c r="B41" s="236" t="s">
        <v>0</v>
      </c>
      <c r="C41" s="215"/>
      <c r="D41" s="215"/>
    </row>
    <row r="42" spans="1:4" ht="20" thickBot="1">
      <c r="A42" s="240" t="s">
        <v>648</v>
      </c>
      <c r="B42" s="244" t="s">
        <v>0</v>
      </c>
      <c r="C42" s="215"/>
      <c r="D42" s="215"/>
    </row>
    <row r="43" spans="1:4" ht="20" thickBot="1">
      <c r="A43" s="242"/>
      <c r="B43" s="243"/>
      <c r="C43" s="215"/>
      <c r="D43" s="215"/>
    </row>
    <row r="44" spans="1:4" ht="20" thickBot="1">
      <c r="A44" s="220" t="s">
        <v>658</v>
      </c>
      <c r="B44" s="234" t="s">
        <v>632</v>
      </c>
      <c r="C44" s="215"/>
      <c r="D44" s="215"/>
    </row>
    <row r="45" spans="1:4" ht="19">
      <c r="A45" s="235" t="s">
        <v>659</v>
      </c>
      <c r="B45" s="236" t="s">
        <v>0</v>
      </c>
      <c r="C45" s="215"/>
      <c r="D45" s="215"/>
    </row>
    <row r="46" spans="1:4" ht="19">
      <c r="A46" s="237" t="s">
        <v>660</v>
      </c>
      <c r="B46" s="236" t="s">
        <v>0</v>
      </c>
      <c r="C46" s="215"/>
      <c r="D46" s="215"/>
    </row>
    <row r="47" spans="1:4" ht="19">
      <c r="A47" s="237" t="s">
        <v>661</v>
      </c>
      <c r="B47" s="236" t="s">
        <v>0</v>
      </c>
      <c r="C47" s="215"/>
      <c r="D47" s="215"/>
    </row>
    <row r="48" spans="1:4" ht="19">
      <c r="A48" s="237" t="s">
        <v>662</v>
      </c>
      <c r="B48" s="236" t="s">
        <v>0</v>
      </c>
      <c r="C48" s="215"/>
      <c r="D48" s="215"/>
    </row>
    <row r="49" spans="1:4" ht="19">
      <c r="A49" s="237" t="s">
        <v>663</v>
      </c>
      <c r="B49" s="236" t="s">
        <v>0</v>
      </c>
      <c r="C49" s="215"/>
      <c r="D49" s="215"/>
    </row>
    <row r="50" spans="1:4" ht="19">
      <c r="A50" s="237" t="s">
        <v>664</v>
      </c>
      <c r="B50" s="236" t="s">
        <v>0</v>
      </c>
      <c r="C50" s="215"/>
      <c r="D50" s="215"/>
    </row>
    <row r="51" spans="1:4" ht="19">
      <c r="A51" s="237" t="s">
        <v>665</v>
      </c>
      <c r="B51" s="236" t="s">
        <v>0</v>
      </c>
      <c r="C51" s="215"/>
      <c r="D51" s="215"/>
    </row>
    <row r="52" spans="1:4" ht="19">
      <c r="A52" s="237" t="s">
        <v>637</v>
      </c>
      <c r="B52" s="236" t="s">
        <v>0</v>
      </c>
      <c r="C52" s="215"/>
      <c r="D52" s="215"/>
    </row>
    <row r="53" spans="1:4" ht="19">
      <c r="A53" s="237" t="s">
        <v>666</v>
      </c>
      <c r="B53" s="236" t="s">
        <v>0</v>
      </c>
      <c r="C53" s="215"/>
      <c r="D53" s="215"/>
    </row>
    <row r="54" spans="1:4" ht="19">
      <c r="A54" s="237" t="s">
        <v>667</v>
      </c>
      <c r="B54" s="236" t="s">
        <v>0</v>
      </c>
      <c r="C54" s="215"/>
      <c r="D54" s="215"/>
    </row>
    <row r="55" spans="1:4" ht="19">
      <c r="A55" s="237" t="s">
        <v>668</v>
      </c>
      <c r="B55" s="236" t="s">
        <v>0</v>
      </c>
      <c r="C55" s="215"/>
      <c r="D55" s="215"/>
    </row>
    <row r="56" spans="1:4" ht="20" thickBot="1">
      <c r="A56" s="240" t="s">
        <v>648</v>
      </c>
      <c r="B56" s="244" t="s">
        <v>0</v>
      </c>
      <c r="C56" s="215"/>
      <c r="D56" s="215"/>
    </row>
    <row r="57" spans="1:4" ht="20" thickBot="1">
      <c r="A57" s="242"/>
      <c r="B57" s="243"/>
      <c r="C57" s="215"/>
      <c r="D57" s="215"/>
    </row>
    <row r="58" spans="1:4" ht="20" thickBot="1">
      <c r="A58" s="220" t="s">
        <v>669</v>
      </c>
      <c r="B58" s="234" t="s">
        <v>632</v>
      </c>
      <c r="C58" s="215"/>
      <c r="D58" s="215"/>
    </row>
    <row r="59" spans="1:4" ht="19">
      <c r="A59" s="235" t="s">
        <v>670</v>
      </c>
      <c r="B59" s="236" t="s">
        <v>0</v>
      </c>
      <c r="C59" s="215"/>
      <c r="D59" s="215"/>
    </row>
    <row r="60" spans="1:4" ht="19">
      <c r="A60" s="237" t="s">
        <v>671</v>
      </c>
      <c r="B60" s="236" t="s">
        <v>0</v>
      </c>
      <c r="C60" s="215"/>
      <c r="D60" s="215"/>
    </row>
    <row r="61" spans="1:4" ht="19">
      <c r="A61" s="237" t="s">
        <v>672</v>
      </c>
      <c r="B61" s="236" t="s">
        <v>0</v>
      </c>
      <c r="C61" s="215"/>
      <c r="D61" s="215"/>
    </row>
    <row r="62" spans="1:4" ht="19">
      <c r="A62" s="237" t="s">
        <v>673</v>
      </c>
      <c r="B62" s="236" t="s">
        <v>0</v>
      </c>
      <c r="C62" s="215"/>
      <c r="D62" s="215"/>
    </row>
    <row r="63" spans="1:4" ht="19">
      <c r="A63" s="237" t="s">
        <v>674</v>
      </c>
      <c r="B63" s="236" t="s">
        <v>0</v>
      </c>
      <c r="C63" s="215"/>
      <c r="D63" s="215"/>
    </row>
    <row r="64" spans="1:4" ht="19">
      <c r="A64" s="237" t="s">
        <v>675</v>
      </c>
      <c r="B64" s="236" t="s">
        <v>0</v>
      </c>
      <c r="C64" s="215"/>
      <c r="D64" s="215"/>
    </row>
    <row r="65" spans="1:4" ht="19">
      <c r="A65" s="237" t="s">
        <v>676</v>
      </c>
      <c r="B65" s="236" t="s">
        <v>0</v>
      </c>
      <c r="C65" s="215"/>
      <c r="D65" s="215"/>
    </row>
    <row r="66" spans="1:4" ht="19">
      <c r="A66" s="237" t="s">
        <v>677</v>
      </c>
      <c r="B66" s="236" t="s">
        <v>0</v>
      </c>
      <c r="C66" s="215"/>
      <c r="D66" s="215"/>
    </row>
    <row r="67" spans="1:4" ht="19">
      <c r="A67" s="237" t="s">
        <v>678</v>
      </c>
      <c r="B67" s="236" t="s">
        <v>0</v>
      </c>
      <c r="C67" s="215"/>
      <c r="D67" s="215"/>
    </row>
    <row r="68" spans="1:4" ht="20" thickBot="1">
      <c r="A68" s="240" t="s">
        <v>648</v>
      </c>
      <c r="B68" s="244" t="s">
        <v>0</v>
      </c>
      <c r="C68" s="215"/>
      <c r="D68" s="215"/>
    </row>
    <row r="69" spans="1:4" ht="20" thickBot="1">
      <c r="A69" s="242"/>
      <c r="B69" s="243"/>
      <c r="C69" s="215"/>
      <c r="D69" s="215"/>
    </row>
    <row r="70" spans="1:4" ht="20" thickBot="1">
      <c r="A70" s="220" t="s">
        <v>679</v>
      </c>
      <c r="B70" s="234" t="s">
        <v>632</v>
      </c>
      <c r="C70" s="215"/>
      <c r="D70" s="215"/>
    </row>
    <row r="71" spans="1:4" ht="19">
      <c r="A71" s="235" t="s">
        <v>680</v>
      </c>
      <c r="B71" s="236" t="s">
        <v>0</v>
      </c>
      <c r="C71" s="215"/>
      <c r="D71" s="215"/>
    </row>
    <row r="72" spans="1:4" ht="19">
      <c r="A72" s="237" t="s">
        <v>681</v>
      </c>
      <c r="B72" s="238" t="s">
        <v>0</v>
      </c>
      <c r="C72" s="215"/>
      <c r="D72" s="215"/>
    </row>
    <row r="73" spans="1:4" ht="20" thickBot="1">
      <c r="A73" s="240" t="s">
        <v>682</v>
      </c>
      <c r="B73" s="245" t="s">
        <v>0</v>
      </c>
      <c r="C73" s="215"/>
      <c r="D73" s="215"/>
    </row>
    <row r="74" spans="1:4" ht="20" thickBot="1">
      <c r="A74" s="242"/>
      <c r="B74" s="243"/>
      <c r="C74" s="215"/>
      <c r="D74" s="215"/>
    </row>
    <row r="75" spans="1:4" ht="20" thickBot="1">
      <c r="A75" s="220" t="s">
        <v>683</v>
      </c>
      <c r="B75" s="234" t="s">
        <v>632</v>
      </c>
      <c r="C75" s="215"/>
      <c r="D75" s="215"/>
    </row>
    <row r="76" spans="1:4" ht="19">
      <c r="A76" s="235" t="s">
        <v>684</v>
      </c>
      <c r="B76" s="236" t="s">
        <v>0</v>
      </c>
      <c r="C76" s="215"/>
      <c r="D76" s="215"/>
    </row>
    <row r="77" spans="1:4" ht="20" thickBot="1">
      <c r="A77" s="240" t="s">
        <v>685</v>
      </c>
      <c r="B77" s="245" t="s">
        <v>0</v>
      </c>
      <c r="C77" s="215"/>
      <c r="D77" s="215"/>
    </row>
    <row r="78" spans="1:4" ht="19">
      <c r="A78" s="215"/>
      <c r="B78" s="215"/>
      <c r="C78" s="215"/>
      <c r="D78" s="215"/>
    </row>
    <row r="79" spans="1:4" ht="19">
      <c r="A79" s="215"/>
      <c r="B79" s="215"/>
      <c r="C79" s="215"/>
      <c r="D79" s="215"/>
    </row>
    <row r="80" spans="1:4" ht="19">
      <c r="A80" s="215"/>
      <c r="B80" s="215"/>
      <c r="C80" s="215"/>
      <c r="D80" s="215"/>
    </row>
    <row r="81" spans="1:4" ht="19">
      <c r="A81" s="215"/>
      <c r="B81" s="215"/>
      <c r="C81" s="215"/>
      <c r="D81" s="215"/>
    </row>
    <row r="82" spans="1:4" ht="19">
      <c r="A82" s="215"/>
      <c r="B82" s="215"/>
      <c r="C82" s="215"/>
      <c r="D82" s="215"/>
    </row>
    <row r="83" spans="1:4" ht="19">
      <c r="A83" s="215"/>
      <c r="B83" s="215"/>
      <c r="C83" s="215"/>
      <c r="D83" s="215"/>
    </row>
    <row r="84" spans="1:4" ht="19">
      <c r="A84" s="215"/>
      <c r="B84" s="215"/>
      <c r="C84" s="215"/>
      <c r="D84" s="215"/>
    </row>
    <row r="85" spans="1:4" ht="19">
      <c r="A85" s="215"/>
      <c r="B85" s="215"/>
      <c r="C85" s="215"/>
      <c r="D85" s="215"/>
    </row>
    <row r="86" spans="1:4" ht="19">
      <c r="A86" s="215"/>
      <c r="B86" s="215"/>
      <c r="C86" s="215"/>
      <c r="D86" s="215"/>
    </row>
    <row r="87" spans="1:4" ht="19">
      <c r="A87" s="215"/>
      <c r="B87" s="215"/>
      <c r="C87" s="215"/>
      <c r="D87" s="215"/>
    </row>
    <row r="88" spans="1:4" ht="19">
      <c r="A88" s="215"/>
      <c r="B88" s="215"/>
      <c r="C88" s="215"/>
      <c r="D88" s="2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4C2C-A8DD-6D4F-AB2B-6F72CE4B195F}">
  <dimension ref="A1:H23"/>
  <sheetViews>
    <sheetView showGridLines="0" workbookViewId="0"/>
  </sheetViews>
  <sheetFormatPr baseColWidth="10" defaultRowHeight="16"/>
  <cols>
    <col min="1" max="1" width="35.6640625" bestFit="1" customWidth="1"/>
    <col min="2" max="2" width="18.1640625" bestFit="1" customWidth="1"/>
    <col min="3" max="3" width="7.83203125" bestFit="1" customWidth="1"/>
  </cols>
  <sheetData>
    <row r="1" spans="1:8" ht="19">
      <c r="A1" s="213" t="s">
        <v>3</v>
      </c>
      <c r="B1" s="214" t="s">
        <v>603</v>
      </c>
      <c r="C1" s="215"/>
      <c r="D1" s="215"/>
      <c r="E1" s="215"/>
      <c r="F1" s="215"/>
      <c r="G1" s="215"/>
      <c r="H1" s="215"/>
    </row>
    <row r="2" spans="1:8" ht="19">
      <c r="A2" s="216" t="s">
        <v>4</v>
      </c>
      <c r="B2" s="217" t="s">
        <v>610</v>
      </c>
      <c r="C2" s="215"/>
      <c r="D2" s="215"/>
      <c r="E2" s="215"/>
      <c r="F2" s="215"/>
      <c r="G2" s="215"/>
      <c r="H2" s="215"/>
    </row>
    <row r="3" spans="1:8" ht="20" thickBot="1">
      <c r="A3" s="218" t="s">
        <v>6</v>
      </c>
      <c r="B3" s="219" t="s">
        <v>555</v>
      </c>
      <c r="C3" s="215"/>
      <c r="D3" s="215"/>
      <c r="E3" s="215"/>
      <c r="F3" s="215"/>
      <c r="G3" s="215"/>
      <c r="H3" s="215"/>
    </row>
    <row r="4" spans="1:8" ht="20" thickBot="1">
      <c r="A4" s="215"/>
      <c r="B4" s="215"/>
      <c r="C4" s="215"/>
      <c r="D4" s="215"/>
      <c r="E4" s="215"/>
      <c r="F4" s="215"/>
      <c r="G4" s="215"/>
      <c r="H4" s="215"/>
    </row>
    <row r="5" spans="1:8" ht="20" thickBot="1">
      <c r="A5" s="220" t="s">
        <v>1</v>
      </c>
      <c r="B5" s="220"/>
      <c r="C5" s="220"/>
      <c r="D5" s="215"/>
      <c r="E5" s="215"/>
      <c r="F5" s="215"/>
      <c r="G5" s="215"/>
      <c r="H5" s="215"/>
    </row>
    <row r="6" spans="1:8" ht="19">
      <c r="A6" s="221" t="s">
        <v>611</v>
      </c>
      <c r="B6" s="222" t="s">
        <v>612</v>
      </c>
      <c r="C6" s="223" t="s">
        <v>613</v>
      </c>
      <c r="D6" s="215"/>
      <c r="E6" s="215"/>
      <c r="F6" s="215"/>
      <c r="G6" s="215"/>
      <c r="H6" s="215"/>
    </row>
    <row r="7" spans="1:8" ht="19">
      <c r="A7" s="224" t="s">
        <v>614</v>
      </c>
      <c r="B7" s="225" t="s">
        <v>615</v>
      </c>
      <c r="C7" s="226" t="s">
        <v>613</v>
      </c>
      <c r="D7" s="215"/>
      <c r="E7" s="215"/>
      <c r="F7" s="215"/>
      <c r="G7" s="215"/>
      <c r="H7" s="215"/>
    </row>
    <row r="8" spans="1:8" ht="19">
      <c r="A8" s="224" t="s">
        <v>616</v>
      </c>
      <c r="B8" s="226" t="s">
        <v>615</v>
      </c>
      <c r="C8" s="226" t="s">
        <v>613</v>
      </c>
      <c r="D8" s="215"/>
      <c r="E8" s="215"/>
      <c r="F8" s="215"/>
      <c r="G8" s="215"/>
      <c r="H8" s="215"/>
    </row>
    <row r="9" spans="1:8" ht="19">
      <c r="A9" s="224" t="s">
        <v>617</v>
      </c>
      <c r="B9" s="226" t="s">
        <v>615</v>
      </c>
      <c r="C9" s="226" t="s">
        <v>613</v>
      </c>
      <c r="D9" s="215"/>
      <c r="E9" s="215"/>
      <c r="F9" s="215"/>
      <c r="G9" s="215"/>
      <c r="H9" s="215"/>
    </row>
    <row r="10" spans="1:8" ht="19">
      <c r="A10" s="224" t="s">
        <v>618</v>
      </c>
      <c r="B10" s="226" t="s">
        <v>615</v>
      </c>
      <c r="C10" s="226" t="s">
        <v>613</v>
      </c>
      <c r="D10" s="215"/>
      <c r="E10" s="215"/>
      <c r="F10" s="215"/>
      <c r="G10" s="215"/>
      <c r="H10" s="215"/>
    </row>
    <row r="11" spans="1:8" ht="19">
      <c r="A11" s="227" t="s">
        <v>619</v>
      </c>
      <c r="B11" s="228" t="s">
        <v>615</v>
      </c>
      <c r="C11" s="226" t="s">
        <v>613</v>
      </c>
      <c r="D11" s="215"/>
      <c r="E11" s="215"/>
      <c r="F11" s="215"/>
      <c r="G11" s="215"/>
      <c r="H11" s="215"/>
    </row>
    <row r="12" spans="1:8" ht="19">
      <c r="A12" s="229" t="s">
        <v>620</v>
      </c>
      <c r="B12" s="230" t="s">
        <v>612</v>
      </c>
      <c r="C12" s="226" t="s">
        <v>613</v>
      </c>
      <c r="D12" s="215"/>
      <c r="E12" s="215"/>
      <c r="F12" s="215"/>
      <c r="G12" s="215"/>
      <c r="H12" s="215"/>
    </row>
    <row r="13" spans="1:8" ht="20" thickBot="1">
      <c r="A13" s="231" t="s">
        <v>621</v>
      </c>
      <c r="B13" s="232" t="s">
        <v>612</v>
      </c>
      <c r="C13" s="233" t="s">
        <v>613</v>
      </c>
      <c r="D13" s="215"/>
      <c r="E13" s="215"/>
      <c r="F13" s="215"/>
      <c r="G13" s="215"/>
      <c r="H13" s="215"/>
    </row>
    <row r="14" spans="1:8" ht="19">
      <c r="A14" s="215"/>
      <c r="B14" s="215"/>
      <c r="C14" s="215"/>
      <c r="D14" s="215"/>
      <c r="E14" s="215"/>
      <c r="F14" s="215"/>
      <c r="G14" s="215"/>
      <c r="H14" s="215"/>
    </row>
    <row r="15" spans="1:8" ht="19">
      <c r="A15" s="215"/>
      <c r="B15" s="215"/>
      <c r="C15" s="215"/>
      <c r="D15" s="215"/>
      <c r="E15" s="215"/>
      <c r="F15" s="215"/>
      <c r="G15" s="215"/>
      <c r="H15" s="215"/>
    </row>
    <row r="16" spans="1:8" ht="19">
      <c r="A16" s="215"/>
      <c r="B16" s="215"/>
      <c r="C16" s="215"/>
      <c r="D16" s="215"/>
      <c r="E16" s="215"/>
      <c r="F16" s="215"/>
      <c r="G16" s="215"/>
      <c r="H16" s="215"/>
    </row>
    <row r="17" spans="1:8" ht="19">
      <c r="A17" s="215"/>
      <c r="B17" s="215"/>
      <c r="C17" s="215"/>
      <c r="D17" s="215"/>
      <c r="E17" s="215"/>
      <c r="F17" s="215"/>
      <c r="G17" s="215"/>
      <c r="H17" s="215"/>
    </row>
    <row r="18" spans="1:8" ht="19">
      <c r="A18" s="215"/>
      <c r="B18" s="215"/>
      <c r="C18" s="215"/>
      <c r="D18" s="215"/>
      <c r="E18" s="215"/>
      <c r="F18" s="215"/>
      <c r="G18" s="215"/>
      <c r="H18" s="215"/>
    </row>
    <row r="19" spans="1:8" ht="19">
      <c r="A19" s="215"/>
      <c r="B19" s="215"/>
      <c r="C19" s="215"/>
      <c r="D19" s="215"/>
      <c r="E19" s="215"/>
      <c r="F19" s="215"/>
      <c r="G19" s="215"/>
      <c r="H19" s="215"/>
    </row>
    <row r="20" spans="1:8" ht="19">
      <c r="A20" s="215"/>
      <c r="B20" s="215"/>
      <c r="C20" s="215"/>
      <c r="D20" s="215"/>
      <c r="E20" s="215"/>
      <c r="F20" s="215"/>
      <c r="G20" s="215"/>
      <c r="H20" s="215"/>
    </row>
    <row r="21" spans="1:8" ht="19">
      <c r="A21" s="215"/>
      <c r="B21" s="215"/>
      <c r="C21" s="215"/>
      <c r="D21" s="215"/>
      <c r="E21" s="215"/>
      <c r="F21" s="215"/>
      <c r="G21" s="215"/>
      <c r="H21" s="215"/>
    </row>
    <row r="22" spans="1:8" ht="19">
      <c r="A22" s="215"/>
      <c r="B22" s="215"/>
      <c r="C22" s="215"/>
      <c r="D22" s="215"/>
      <c r="E22" s="215"/>
      <c r="F22" s="215"/>
      <c r="G22" s="215"/>
      <c r="H22" s="215"/>
    </row>
    <row r="23" spans="1:8" ht="19">
      <c r="A23" s="215"/>
      <c r="B23" s="215"/>
      <c r="C23" s="215"/>
      <c r="D23" s="215"/>
      <c r="E23" s="215"/>
      <c r="F23" s="215"/>
      <c r="G23" s="215"/>
      <c r="H23" s="21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0"/>
  <sheetViews>
    <sheetView showGridLines="0" zoomScale="70" zoomScaleNormal="70" workbookViewId="0"/>
  </sheetViews>
  <sheetFormatPr baseColWidth="10" defaultColWidth="11" defaultRowHeight="16"/>
  <cols>
    <col min="1" max="1" width="18.33203125" bestFit="1" customWidth="1"/>
    <col min="2" max="2" width="18.5" bestFit="1" customWidth="1"/>
    <col min="3" max="3" width="20.5" bestFit="1" customWidth="1"/>
    <col min="4" max="4" width="21.6640625" bestFit="1" customWidth="1"/>
    <col min="5" max="5" width="17.33203125" bestFit="1" customWidth="1"/>
  </cols>
  <sheetData>
    <row r="1" spans="1:5">
      <c r="A1" s="16" t="s">
        <v>85</v>
      </c>
      <c r="B1" s="17" t="s">
        <v>86</v>
      </c>
      <c r="C1" s="17" t="s">
        <v>87</v>
      </c>
      <c r="D1" s="17" t="s">
        <v>88</v>
      </c>
      <c r="E1" s="17" t="s">
        <v>89</v>
      </c>
    </row>
    <row r="2" spans="1:5">
      <c r="A2" s="18" t="s">
        <v>90</v>
      </c>
      <c r="B2" s="19" t="s">
        <v>91</v>
      </c>
      <c r="C2" s="18" t="s">
        <v>92</v>
      </c>
      <c r="D2" s="18" t="s">
        <v>93</v>
      </c>
      <c r="E2" s="18" t="s">
        <v>94</v>
      </c>
    </row>
    <row r="3" spans="1:5">
      <c r="A3" s="18" t="s">
        <v>95</v>
      </c>
      <c r="B3" s="19" t="s">
        <v>96</v>
      </c>
      <c r="C3" s="18" t="s">
        <v>97</v>
      </c>
      <c r="D3" s="18" t="s">
        <v>98</v>
      </c>
      <c r="E3" s="18" t="s">
        <v>99</v>
      </c>
    </row>
    <row r="4" spans="1:5">
      <c r="A4" s="18" t="s">
        <v>100</v>
      </c>
      <c r="B4" s="19" t="s">
        <v>101</v>
      </c>
      <c r="C4" s="18" t="s">
        <v>102</v>
      </c>
      <c r="D4" s="18" t="s">
        <v>103</v>
      </c>
      <c r="E4" s="18" t="s">
        <v>104</v>
      </c>
    </row>
    <row r="5" spans="1:5">
      <c r="A5" s="18" t="s">
        <v>105</v>
      </c>
      <c r="B5" s="19" t="s">
        <v>106</v>
      </c>
      <c r="C5" s="18" t="s">
        <v>107</v>
      </c>
      <c r="D5" s="18" t="s">
        <v>108</v>
      </c>
      <c r="E5" s="18" t="s">
        <v>109</v>
      </c>
    </row>
    <row r="6" spans="1:5">
      <c r="A6" s="18" t="s">
        <v>110</v>
      </c>
      <c r="B6" s="19" t="s">
        <v>111</v>
      </c>
      <c r="C6" s="18" t="s">
        <v>112</v>
      </c>
      <c r="D6" s="18" t="s">
        <v>113</v>
      </c>
      <c r="E6" s="18" t="s">
        <v>114</v>
      </c>
    </row>
    <row r="7" spans="1:5">
      <c r="A7" s="18" t="s">
        <v>115</v>
      </c>
      <c r="B7" s="19" t="s">
        <v>116</v>
      </c>
      <c r="C7" s="18" t="s">
        <v>117</v>
      </c>
      <c r="D7" s="18" t="s">
        <v>118</v>
      </c>
      <c r="E7" s="18" t="s">
        <v>119</v>
      </c>
    </row>
    <row r="8" spans="1:5">
      <c r="A8" s="18" t="s">
        <v>120</v>
      </c>
      <c r="B8" s="19" t="s">
        <v>121</v>
      </c>
      <c r="C8" s="18" t="s">
        <v>122</v>
      </c>
      <c r="D8" s="18" t="s">
        <v>123</v>
      </c>
      <c r="E8" s="18" t="s">
        <v>124</v>
      </c>
    </row>
    <row r="9" spans="1:5">
      <c r="A9" s="18" t="s">
        <v>125</v>
      </c>
      <c r="B9" s="19" t="s">
        <v>126</v>
      </c>
      <c r="C9" s="18" t="s">
        <v>127</v>
      </c>
      <c r="D9" s="18" t="s">
        <v>128</v>
      </c>
      <c r="E9" s="18" t="s">
        <v>129</v>
      </c>
    </row>
    <row r="10" spans="1:5">
      <c r="A10" s="18" t="s">
        <v>130</v>
      </c>
      <c r="B10" s="19" t="s">
        <v>131</v>
      </c>
      <c r="C10" s="18" t="s">
        <v>132</v>
      </c>
      <c r="D10" s="18" t="s">
        <v>133</v>
      </c>
      <c r="E10" s="18" t="s">
        <v>134</v>
      </c>
    </row>
    <row r="11" spans="1:5">
      <c r="A11" s="18" t="s">
        <v>135</v>
      </c>
      <c r="B11" s="19" t="s">
        <v>136</v>
      </c>
      <c r="C11" s="18" t="s">
        <v>137</v>
      </c>
      <c r="D11" s="18" t="s">
        <v>138</v>
      </c>
      <c r="E11" s="18" t="s">
        <v>139</v>
      </c>
    </row>
    <row r="12" spans="1:5">
      <c r="A12" s="18" t="s">
        <v>140</v>
      </c>
      <c r="B12" s="19" t="s">
        <v>141</v>
      </c>
      <c r="C12" s="18" t="s">
        <v>142</v>
      </c>
      <c r="D12" s="18" t="s">
        <v>143</v>
      </c>
      <c r="E12" s="18" t="s">
        <v>144</v>
      </c>
    </row>
    <row r="13" spans="1:5">
      <c r="A13" s="18" t="s">
        <v>145</v>
      </c>
      <c r="B13" s="19" t="s">
        <v>146</v>
      </c>
      <c r="C13" s="18" t="s">
        <v>147</v>
      </c>
      <c r="D13" s="18" t="s">
        <v>148</v>
      </c>
      <c r="E13" s="18" t="s">
        <v>149</v>
      </c>
    </row>
    <row r="14" spans="1:5">
      <c r="A14" s="18" t="s">
        <v>150</v>
      </c>
      <c r="B14" s="19" t="s">
        <v>151</v>
      </c>
      <c r="C14" s="18" t="s">
        <v>152</v>
      </c>
      <c r="D14" s="18" t="s">
        <v>153</v>
      </c>
      <c r="E14" s="18" t="s">
        <v>154</v>
      </c>
    </row>
    <row r="15" spans="1:5">
      <c r="A15" s="18" t="s">
        <v>155</v>
      </c>
      <c r="B15" s="20" t="s">
        <v>156</v>
      </c>
      <c r="C15" s="18" t="s">
        <v>157</v>
      </c>
      <c r="D15" s="18" t="s">
        <v>158</v>
      </c>
      <c r="E15" s="18" t="s">
        <v>159</v>
      </c>
    </row>
    <row r="16" spans="1:5">
      <c r="A16" s="18" t="s">
        <v>160</v>
      </c>
      <c r="B16" s="20" t="s">
        <v>161</v>
      </c>
      <c r="C16" s="18" t="s">
        <v>162</v>
      </c>
      <c r="D16" s="18" t="s">
        <v>163</v>
      </c>
      <c r="E16" s="18" t="s">
        <v>164</v>
      </c>
    </row>
    <row r="17" spans="1:5">
      <c r="A17" s="18" t="s">
        <v>165</v>
      </c>
      <c r="B17" s="21" t="s">
        <v>166</v>
      </c>
      <c r="C17" s="18" t="s">
        <v>167</v>
      </c>
      <c r="D17" s="18" t="s">
        <v>168</v>
      </c>
      <c r="E17" s="18" t="s">
        <v>169</v>
      </c>
    </row>
    <row r="18" spans="1:5">
      <c r="A18" s="18" t="s">
        <v>170</v>
      </c>
      <c r="B18" s="21" t="s">
        <v>171</v>
      </c>
      <c r="C18" s="18" t="s">
        <v>172</v>
      </c>
      <c r="D18" s="18" t="s">
        <v>173</v>
      </c>
      <c r="E18" s="18" t="s">
        <v>174</v>
      </c>
    </row>
    <row r="19" spans="1:5">
      <c r="A19" s="18" t="s">
        <v>175</v>
      </c>
      <c r="B19" s="21" t="s">
        <v>176</v>
      </c>
      <c r="C19" s="18" t="s">
        <v>177</v>
      </c>
      <c r="D19" s="18" t="s">
        <v>178</v>
      </c>
      <c r="E19" s="18" t="s">
        <v>179</v>
      </c>
    </row>
    <row r="20" spans="1:5">
      <c r="A20" s="18" t="s">
        <v>180</v>
      </c>
      <c r="B20" s="21" t="s">
        <v>181</v>
      </c>
      <c r="C20" s="18" t="s">
        <v>182</v>
      </c>
      <c r="D20" s="18" t="s">
        <v>183</v>
      </c>
      <c r="E20" s="18" t="s">
        <v>184</v>
      </c>
    </row>
    <row r="21" spans="1:5">
      <c r="A21" s="18" t="s">
        <v>185</v>
      </c>
      <c r="B21" s="21" t="s">
        <v>186</v>
      </c>
      <c r="C21" s="18" t="s">
        <v>187</v>
      </c>
      <c r="D21" s="18" t="s">
        <v>188</v>
      </c>
      <c r="E21" s="18" t="s">
        <v>189</v>
      </c>
    </row>
    <row r="22" spans="1:5">
      <c r="A22" s="18" t="s">
        <v>190</v>
      </c>
      <c r="B22" s="21" t="s">
        <v>191</v>
      </c>
      <c r="C22" s="18" t="s">
        <v>192</v>
      </c>
      <c r="D22" s="18" t="s">
        <v>193</v>
      </c>
      <c r="E22" s="18" t="s">
        <v>194</v>
      </c>
    </row>
    <row r="23" spans="1:5">
      <c r="A23" s="18" t="s">
        <v>195</v>
      </c>
      <c r="B23" s="21" t="s">
        <v>196</v>
      </c>
      <c r="C23" s="18" t="s">
        <v>197</v>
      </c>
      <c r="D23" s="18" t="s">
        <v>198</v>
      </c>
      <c r="E23" s="18" t="s">
        <v>199</v>
      </c>
    </row>
    <row r="24" spans="1:5">
      <c r="A24" s="18" t="s">
        <v>200</v>
      </c>
      <c r="B24" s="21" t="s">
        <v>92</v>
      </c>
      <c r="C24" s="18" t="s">
        <v>201</v>
      </c>
      <c r="D24" s="18" t="s">
        <v>202</v>
      </c>
      <c r="E24" s="18" t="s">
        <v>203</v>
      </c>
    </row>
    <row r="25" spans="1:5">
      <c r="A25" s="18" t="s">
        <v>204</v>
      </c>
      <c r="B25" s="21" t="s">
        <v>205</v>
      </c>
      <c r="C25" s="18" t="s">
        <v>206</v>
      </c>
      <c r="D25" s="18" t="s">
        <v>207</v>
      </c>
      <c r="E25" s="18" t="s">
        <v>208</v>
      </c>
    </row>
    <row r="26" spans="1:5">
      <c r="A26" s="18" t="s">
        <v>209</v>
      </c>
      <c r="B26" s="21" t="s">
        <v>210</v>
      </c>
      <c r="C26" s="18" t="s">
        <v>211</v>
      </c>
      <c r="D26" s="18" t="s">
        <v>212</v>
      </c>
      <c r="E26" s="18" t="s">
        <v>213</v>
      </c>
    </row>
    <row r="27" spans="1:5">
      <c r="A27" s="18" t="s">
        <v>214</v>
      </c>
      <c r="B27" s="21" t="s">
        <v>215</v>
      </c>
      <c r="C27" s="18" t="s">
        <v>216</v>
      </c>
      <c r="D27" s="18" t="s">
        <v>217</v>
      </c>
      <c r="E27" s="18" t="s">
        <v>218</v>
      </c>
    </row>
    <row r="28" spans="1:5">
      <c r="A28" s="18" t="s">
        <v>219</v>
      </c>
      <c r="B28" s="21" t="s">
        <v>162</v>
      </c>
      <c r="C28" s="18" t="s">
        <v>220</v>
      </c>
      <c r="D28" s="18" t="s">
        <v>221</v>
      </c>
      <c r="E28" s="18" t="s">
        <v>222</v>
      </c>
    </row>
    <row r="29" spans="1:5">
      <c r="A29" s="18" t="s">
        <v>223</v>
      </c>
      <c r="B29" s="21" t="s">
        <v>224</v>
      </c>
      <c r="C29" s="18" t="s">
        <v>225</v>
      </c>
      <c r="D29" s="18" t="s">
        <v>226</v>
      </c>
      <c r="E29" s="18" t="s">
        <v>227</v>
      </c>
    </row>
    <row r="30" spans="1:5">
      <c r="A30" s="18" t="s">
        <v>228</v>
      </c>
      <c r="B30" s="21" t="s">
        <v>229</v>
      </c>
      <c r="C30" s="18" t="s">
        <v>230</v>
      </c>
      <c r="D30" s="18" t="s">
        <v>231</v>
      </c>
      <c r="E30" s="18" t="s">
        <v>232</v>
      </c>
    </row>
    <row r="31" spans="1:5">
      <c r="A31" s="18" t="s">
        <v>233</v>
      </c>
      <c r="B31" s="21" t="s">
        <v>234</v>
      </c>
      <c r="C31" s="18" t="s">
        <v>235</v>
      </c>
      <c r="D31" s="18" t="s">
        <v>236</v>
      </c>
      <c r="E31" s="18" t="s">
        <v>237</v>
      </c>
    </row>
    <row r="32" spans="1:5">
      <c r="A32" s="18" t="s">
        <v>238</v>
      </c>
      <c r="B32" s="21" t="s">
        <v>239</v>
      </c>
      <c r="C32" s="18" t="s">
        <v>240</v>
      </c>
      <c r="D32" s="18" t="s">
        <v>241</v>
      </c>
      <c r="E32" s="18" t="s">
        <v>242</v>
      </c>
    </row>
    <row r="33" spans="1:5">
      <c r="A33" s="18" t="s">
        <v>243</v>
      </c>
      <c r="B33" s="21" t="s">
        <v>244</v>
      </c>
      <c r="C33" s="18" t="s">
        <v>245</v>
      </c>
      <c r="D33" s="18" t="s">
        <v>246</v>
      </c>
      <c r="E33" s="18" t="s">
        <v>247</v>
      </c>
    </row>
    <row r="34" spans="1:5">
      <c r="A34" s="18" t="s">
        <v>248</v>
      </c>
      <c r="B34" s="21" t="s">
        <v>117</v>
      </c>
      <c r="C34" s="18" t="s">
        <v>249</v>
      </c>
      <c r="D34" s="18" t="s">
        <v>250</v>
      </c>
      <c r="E34" s="18" t="s">
        <v>251</v>
      </c>
    </row>
    <row r="35" spans="1:5">
      <c r="A35" s="18" t="s">
        <v>252</v>
      </c>
      <c r="B35" s="21" t="s">
        <v>192</v>
      </c>
      <c r="C35" s="18" t="s">
        <v>253</v>
      </c>
      <c r="D35" s="18" t="s">
        <v>254</v>
      </c>
      <c r="E35" s="18" t="s">
        <v>255</v>
      </c>
    </row>
    <row r="36" spans="1:5">
      <c r="A36" s="18" t="s">
        <v>256</v>
      </c>
      <c r="B36" s="21" t="s">
        <v>257</v>
      </c>
      <c r="C36" s="18" t="s">
        <v>258</v>
      </c>
      <c r="D36" s="18" t="s">
        <v>259</v>
      </c>
      <c r="E36" s="18" t="s">
        <v>260</v>
      </c>
    </row>
    <row r="37" spans="1:5">
      <c r="A37" s="18" t="s">
        <v>261</v>
      </c>
      <c r="B37" s="21" t="s">
        <v>262</v>
      </c>
      <c r="C37" s="18" t="s">
        <v>263</v>
      </c>
      <c r="D37" s="18" t="s">
        <v>264</v>
      </c>
      <c r="E37" s="18" t="s">
        <v>265</v>
      </c>
    </row>
    <row r="38" spans="1:5">
      <c r="A38" s="18" t="s">
        <v>266</v>
      </c>
      <c r="B38" s="21" t="s">
        <v>267</v>
      </c>
      <c r="C38" s="18" t="s">
        <v>268</v>
      </c>
      <c r="D38" s="18" t="s">
        <v>269</v>
      </c>
      <c r="E38" s="18" t="s">
        <v>270</v>
      </c>
    </row>
    <row r="39" spans="1:5">
      <c r="A39" s="18" t="s">
        <v>271</v>
      </c>
      <c r="B39" s="21" t="s">
        <v>272</v>
      </c>
      <c r="C39" s="18" t="s">
        <v>273</v>
      </c>
      <c r="D39" s="18" t="s">
        <v>274</v>
      </c>
      <c r="E39" s="18" t="s">
        <v>275</v>
      </c>
    </row>
    <row r="40" spans="1:5">
      <c r="A40" s="18" t="s">
        <v>276</v>
      </c>
      <c r="B40" s="21" t="s">
        <v>277</v>
      </c>
      <c r="C40" s="18" t="s">
        <v>278</v>
      </c>
      <c r="D40" s="18" t="s">
        <v>279</v>
      </c>
      <c r="E40" s="18" t="s">
        <v>280</v>
      </c>
    </row>
    <row r="41" spans="1:5">
      <c r="A41" s="18" t="s">
        <v>281</v>
      </c>
      <c r="B41" s="21" t="s">
        <v>282</v>
      </c>
      <c r="C41" s="18" t="s">
        <v>283</v>
      </c>
      <c r="D41" s="18" t="s">
        <v>284</v>
      </c>
      <c r="E41" s="18" t="s">
        <v>285</v>
      </c>
    </row>
    <row r="42" spans="1:5">
      <c r="A42" s="18" t="s">
        <v>286</v>
      </c>
      <c r="B42" s="22" t="s">
        <v>287</v>
      </c>
      <c r="C42" s="18" t="s">
        <v>288</v>
      </c>
      <c r="D42" s="18" t="s">
        <v>289</v>
      </c>
      <c r="E42" s="18" t="s">
        <v>290</v>
      </c>
    </row>
    <row r="43" spans="1:5">
      <c r="A43" s="18" t="s">
        <v>291</v>
      </c>
      <c r="B43" s="22" t="s">
        <v>292</v>
      </c>
      <c r="C43" s="18" t="s">
        <v>293</v>
      </c>
      <c r="D43" s="18" t="s">
        <v>294</v>
      </c>
      <c r="E43" s="18" t="s">
        <v>295</v>
      </c>
    </row>
    <row r="44" spans="1:5">
      <c r="A44" s="18" t="s">
        <v>296</v>
      </c>
      <c r="B44" s="22" t="s">
        <v>297</v>
      </c>
      <c r="C44" s="18" t="s">
        <v>298</v>
      </c>
      <c r="D44" s="18" t="s">
        <v>299</v>
      </c>
      <c r="E44" s="18" t="s">
        <v>300</v>
      </c>
    </row>
    <row r="45" spans="1:5">
      <c r="A45" s="18" t="s">
        <v>301</v>
      </c>
      <c r="B45" s="22" t="s">
        <v>302</v>
      </c>
      <c r="C45" s="18" t="s">
        <v>303</v>
      </c>
      <c r="D45" s="18" t="s">
        <v>304</v>
      </c>
      <c r="E45" s="18" t="s">
        <v>305</v>
      </c>
    </row>
    <row r="46" spans="1:5">
      <c r="A46" s="18" t="s">
        <v>306</v>
      </c>
      <c r="B46" s="22" t="s">
        <v>307</v>
      </c>
      <c r="C46" s="18" t="s">
        <v>308</v>
      </c>
      <c r="D46" s="18" t="s">
        <v>309</v>
      </c>
      <c r="E46" s="18" t="s">
        <v>310</v>
      </c>
    </row>
    <row r="47" spans="1:5">
      <c r="A47" s="18" t="s">
        <v>311</v>
      </c>
      <c r="B47" s="18" t="s">
        <v>312</v>
      </c>
      <c r="C47" s="23"/>
      <c r="D47" s="18" t="s">
        <v>313</v>
      </c>
      <c r="E47" s="18" t="s">
        <v>314</v>
      </c>
    </row>
    <row r="48" spans="1:5">
      <c r="A48" s="18" t="s">
        <v>315</v>
      </c>
      <c r="B48" s="23"/>
      <c r="C48" s="23"/>
      <c r="D48" s="18" t="s">
        <v>316</v>
      </c>
      <c r="E48" s="18" t="s">
        <v>317</v>
      </c>
    </row>
    <row r="49" spans="1:5">
      <c r="A49" s="18" t="s">
        <v>318</v>
      </c>
      <c r="B49" s="23"/>
      <c r="C49" s="23"/>
      <c r="D49" s="18" t="s">
        <v>319</v>
      </c>
      <c r="E49" s="18" t="s">
        <v>320</v>
      </c>
    </row>
    <row r="50" spans="1:5">
      <c r="A50" s="23"/>
      <c r="B50" s="23"/>
      <c r="C50" s="23"/>
      <c r="D50" s="23"/>
      <c r="E50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1"/>
  <sheetViews>
    <sheetView showGridLines="0" zoomScale="70" zoomScaleNormal="70" workbookViewId="0">
      <selection sqref="A1:C1"/>
    </sheetView>
  </sheetViews>
  <sheetFormatPr baseColWidth="10" defaultColWidth="11" defaultRowHeight="16"/>
  <cols>
    <col min="1" max="1" width="31.1640625" bestFit="1" customWidth="1"/>
    <col min="2" max="2" width="32.1640625" bestFit="1" customWidth="1"/>
    <col min="3" max="3" width="42.1640625" bestFit="1" customWidth="1"/>
    <col min="5" max="5" width="22.6640625" bestFit="1" customWidth="1"/>
    <col min="6" max="6" width="22.1640625" bestFit="1" customWidth="1"/>
    <col min="7" max="7" width="18" bestFit="1" customWidth="1"/>
  </cols>
  <sheetData>
    <row r="1" spans="1:7">
      <c r="A1" s="210" t="s">
        <v>321</v>
      </c>
      <c r="B1" s="211"/>
      <c r="C1" s="192"/>
      <c r="D1" s="24"/>
      <c r="E1" s="212" t="s">
        <v>322</v>
      </c>
      <c r="F1" s="211"/>
      <c r="G1" s="192"/>
    </row>
    <row r="2" spans="1:7">
      <c r="A2" s="25" t="s">
        <v>85</v>
      </c>
      <c r="B2" s="25" t="s">
        <v>87</v>
      </c>
      <c r="C2" s="25" t="s">
        <v>323</v>
      </c>
      <c r="D2" s="26"/>
      <c r="E2" s="25" t="s">
        <v>85</v>
      </c>
      <c r="F2" s="25" t="s">
        <v>87</v>
      </c>
      <c r="G2" s="25" t="s">
        <v>323</v>
      </c>
    </row>
    <row r="3" spans="1:7">
      <c r="A3" s="27" t="s">
        <v>324</v>
      </c>
      <c r="B3" s="27" t="s">
        <v>325</v>
      </c>
      <c r="C3" s="27" t="s">
        <v>326</v>
      </c>
      <c r="D3" s="28"/>
      <c r="E3" s="27" t="s">
        <v>90</v>
      </c>
      <c r="F3" s="27" t="s">
        <v>92</v>
      </c>
      <c r="G3" s="27" t="s">
        <v>171</v>
      </c>
    </row>
    <row r="4" spans="1:7">
      <c r="A4" s="27" t="s">
        <v>327</v>
      </c>
      <c r="B4" s="27" t="s">
        <v>328</v>
      </c>
      <c r="C4" s="27" t="s">
        <v>329</v>
      </c>
      <c r="D4" s="28"/>
      <c r="E4" s="27" t="s">
        <v>165</v>
      </c>
      <c r="F4" s="27" t="s">
        <v>283</v>
      </c>
      <c r="G4" s="27" t="s">
        <v>96</v>
      </c>
    </row>
    <row r="5" spans="1:7">
      <c r="A5" s="27" t="s">
        <v>330</v>
      </c>
      <c r="B5" s="27" t="s">
        <v>329</v>
      </c>
      <c r="C5" s="27" t="s">
        <v>331</v>
      </c>
      <c r="D5" s="28"/>
      <c r="E5" s="27" t="s">
        <v>332</v>
      </c>
      <c r="F5" s="27" t="s">
        <v>127</v>
      </c>
      <c r="G5" s="27" t="s">
        <v>106</v>
      </c>
    </row>
    <row r="6" spans="1:7">
      <c r="A6" s="27" t="s">
        <v>333</v>
      </c>
      <c r="B6" s="27" t="s">
        <v>334</v>
      </c>
      <c r="C6" s="27" t="s">
        <v>335</v>
      </c>
      <c r="D6" s="28"/>
      <c r="E6" s="27" t="s">
        <v>185</v>
      </c>
      <c r="F6" s="27" t="s">
        <v>171</v>
      </c>
      <c r="G6" s="27" t="s">
        <v>336</v>
      </c>
    </row>
    <row r="7" spans="1:7">
      <c r="A7" s="27" t="s">
        <v>337</v>
      </c>
      <c r="B7" s="27" t="s">
        <v>338</v>
      </c>
      <c r="C7" s="27" t="s">
        <v>339</v>
      </c>
      <c r="D7" s="28"/>
      <c r="E7" s="27" t="s">
        <v>340</v>
      </c>
      <c r="F7" s="27" t="s">
        <v>341</v>
      </c>
      <c r="G7" s="27" t="s">
        <v>342</v>
      </c>
    </row>
    <row r="8" spans="1:7">
      <c r="A8" s="27" t="s">
        <v>343</v>
      </c>
      <c r="B8" s="27" t="s">
        <v>344</v>
      </c>
      <c r="C8" s="27" t="s">
        <v>345</v>
      </c>
      <c r="D8" s="28"/>
      <c r="E8" s="27" t="s">
        <v>261</v>
      </c>
      <c r="F8" s="27" t="s">
        <v>346</v>
      </c>
      <c r="G8" s="27" t="s">
        <v>347</v>
      </c>
    </row>
    <row r="9" spans="1:7">
      <c r="A9" s="27" t="s">
        <v>348</v>
      </c>
      <c r="B9" s="27" t="s">
        <v>349</v>
      </c>
      <c r="C9" s="27" t="s">
        <v>350</v>
      </c>
      <c r="D9" s="28"/>
      <c r="E9" s="27" t="s">
        <v>95</v>
      </c>
      <c r="F9" s="27" t="s">
        <v>112</v>
      </c>
      <c r="G9" s="27" t="s">
        <v>351</v>
      </c>
    </row>
    <row r="10" spans="1:7">
      <c r="A10" s="27" t="s">
        <v>352</v>
      </c>
      <c r="B10" s="27" t="s">
        <v>331</v>
      </c>
      <c r="C10" s="27" t="s">
        <v>353</v>
      </c>
      <c r="D10" s="28"/>
      <c r="E10" s="27" t="s">
        <v>354</v>
      </c>
      <c r="F10" s="27" t="s">
        <v>162</v>
      </c>
      <c r="G10" s="27" t="s">
        <v>102</v>
      </c>
    </row>
    <row r="11" spans="1:7">
      <c r="A11" s="27" t="s">
        <v>355</v>
      </c>
      <c r="B11" s="27" t="s">
        <v>356</v>
      </c>
      <c r="C11" s="27" t="s">
        <v>357</v>
      </c>
      <c r="D11" s="28"/>
      <c r="E11" s="27" t="s">
        <v>358</v>
      </c>
      <c r="F11" s="27" t="s">
        <v>359</v>
      </c>
      <c r="G11" s="27" t="s">
        <v>360</v>
      </c>
    </row>
    <row r="12" spans="1:7">
      <c r="A12" s="27" t="s">
        <v>361</v>
      </c>
      <c r="B12" s="27" t="s">
        <v>362</v>
      </c>
      <c r="C12" s="27" t="s">
        <v>363</v>
      </c>
      <c r="D12" s="28"/>
      <c r="E12" s="27" t="s">
        <v>364</v>
      </c>
      <c r="F12" s="27" t="s">
        <v>365</v>
      </c>
      <c r="G12" s="27" t="s">
        <v>366</v>
      </c>
    </row>
    <row r="13" spans="1:7">
      <c r="A13" s="27" t="s">
        <v>367</v>
      </c>
      <c r="B13" s="27" t="s">
        <v>353</v>
      </c>
      <c r="C13" s="27" t="s">
        <v>368</v>
      </c>
      <c r="D13" s="28"/>
      <c r="E13" s="27" t="s">
        <v>266</v>
      </c>
      <c r="F13" s="27" t="s">
        <v>360</v>
      </c>
      <c r="G13" s="27" t="s">
        <v>369</v>
      </c>
    </row>
    <row r="14" spans="1:7">
      <c r="A14" s="27" t="s">
        <v>370</v>
      </c>
      <c r="B14" s="27" t="s">
        <v>371</v>
      </c>
      <c r="C14" s="27" t="s">
        <v>372</v>
      </c>
      <c r="D14" s="28"/>
      <c r="E14" s="27" t="s">
        <v>373</v>
      </c>
      <c r="F14" s="27" t="s">
        <v>117</v>
      </c>
      <c r="G14" s="27" t="s">
        <v>374</v>
      </c>
    </row>
    <row r="15" spans="1:7">
      <c r="A15" s="27" t="s">
        <v>375</v>
      </c>
      <c r="B15" s="27" t="s">
        <v>376</v>
      </c>
      <c r="C15" s="27" t="s">
        <v>377</v>
      </c>
      <c r="D15" s="28"/>
      <c r="E15" s="27" t="s">
        <v>378</v>
      </c>
      <c r="F15" s="27" t="s">
        <v>366</v>
      </c>
      <c r="G15" s="27" t="s">
        <v>379</v>
      </c>
    </row>
    <row r="16" spans="1:7">
      <c r="A16" s="27" t="s">
        <v>380</v>
      </c>
      <c r="B16" s="27" t="s">
        <v>368</v>
      </c>
      <c r="C16" s="27" t="s">
        <v>381</v>
      </c>
      <c r="D16" s="28"/>
      <c r="E16" s="27" t="s">
        <v>281</v>
      </c>
      <c r="F16" s="27" t="s">
        <v>382</v>
      </c>
      <c r="G16" s="27" t="s">
        <v>383</v>
      </c>
    </row>
    <row r="17" spans="1:7">
      <c r="A17" s="27" t="s">
        <v>384</v>
      </c>
      <c r="B17" s="27" t="s">
        <v>385</v>
      </c>
      <c r="C17" s="27" t="s">
        <v>386</v>
      </c>
      <c r="D17" s="28"/>
      <c r="E17" s="27" t="s">
        <v>387</v>
      </c>
      <c r="F17" s="27" t="s">
        <v>369</v>
      </c>
      <c r="G17" s="27" t="s">
        <v>388</v>
      </c>
    </row>
    <row r="18" spans="1:7">
      <c r="A18" s="27" t="s">
        <v>389</v>
      </c>
      <c r="B18" s="27" t="s">
        <v>377</v>
      </c>
      <c r="C18" s="27" t="s">
        <v>390</v>
      </c>
      <c r="D18" s="28"/>
      <c r="E18" s="27" t="s">
        <v>391</v>
      </c>
      <c r="F18" s="27" t="s">
        <v>379</v>
      </c>
      <c r="G18" s="27" t="s">
        <v>392</v>
      </c>
    </row>
    <row r="19" spans="1:7">
      <c r="A19" s="27" t="s">
        <v>393</v>
      </c>
      <c r="B19" s="27" t="s">
        <v>394</v>
      </c>
      <c r="C19" s="27" t="s">
        <v>395</v>
      </c>
      <c r="D19" s="28"/>
      <c r="E19" s="27" t="s">
        <v>396</v>
      </c>
      <c r="F19" s="27" t="s">
        <v>397</v>
      </c>
      <c r="G19" s="27" t="s">
        <v>398</v>
      </c>
    </row>
    <row r="20" spans="1:7">
      <c r="A20" s="27" t="s">
        <v>399</v>
      </c>
      <c r="B20" s="27" t="s">
        <v>400</v>
      </c>
      <c r="C20" s="27" t="s">
        <v>401</v>
      </c>
      <c r="D20" s="28"/>
      <c r="E20" s="27" t="s">
        <v>402</v>
      </c>
      <c r="F20" s="27" t="s">
        <v>403</v>
      </c>
      <c r="G20" s="27" t="s">
        <v>404</v>
      </c>
    </row>
    <row r="21" spans="1:7">
      <c r="A21" s="27" t="s">
        <v>405</v>
      </c>
      <c r="B21" s="27" t="s">
        <v>406</v>
      </c>
      <c r="C21" s="27" t="s">
        <v>407</v>
      </c>
      <c r="D21" s="28"/>
      <c r="E21" s="27" t="s">
        <v>408</v>
      </c>
      <c r="F21" s="27" t="s">
        <v>409</v>
      </c>
      <c r="G21" s="27" t="s">
        <v>410</v>
      </c>
    </row>
    <row r="22" spans="1:7">
      <c r="A22" s="27" t="s">
        <v>411</v>
      </c>
      <c r="B22" s="27" t="s">
        <v>412</v>
      </c>
      <c r="C22" s="27" t="s">
        <v>413</v>
      </c>
      <c r="D22" s="28"/>
      <c r="E22" s="27" t="s">
        <v>414</v>
      </c>
      <c r="F22" s="27" t="s">
        <v>392</v>
      </c>
      <c r="G22" s="27" t="s">
        <v>415</v>
      </c>
    </row>
    <row r="23" spans="1:7">
      <c r="A23" s="27" t="s">
        <v>416</v>
      </c>
      <c r="B23" s="27" t="s">
        <v>381</v>
      </c>
      <c r="C23" s="27" t="s">
        <v>417</v>
      </c>
      <c r="D23" s="28"/>
      <c r="E23" s="27" t="s">
        <v>418</v>
      </c>
      <c r="F23" s="27" t="s">
        <v>132</v>
      </c>
      <c r="G23" s="27" t="s">
        <v>419</v>
      </c>
    </row>
    <row r="24" spans="1:7">
      <c r="A24" s="27" t="s">
        <v>420</v>
      </c>
      <c r="B24" s="27" t="s">
        <v>421</v>
      </c>
      <c r="C24" s="27" t="s">
        <v>422</v>
      </c>
      <c r="D24" s="28"/>
      <c r="E24" s="27" t="s">
        <v>423</v>
      </c>
      <c r="F24" s="27" t="s">
        <v>424</v>
      </c>
      <c r="G24" s="27" t="s">
        <v>425</v>
      </c>
    </row>
    <row r="25" spans="1:7">
      <c r="A25" s="27" t="s">
        <v>426</v>
      </c>
      <c r="B25" s="27" t="s">
        <v>427</v>
      </c>
      <c r="C25" s="27" t="s">
        <v>428</v>
      </c>
      <c r="D25" s="28"/>
      <c r="E25" s="27" t="s">
        <v>150</v>
      </c>
      <c r="F25" s="27" t="s">
        <v>277</v>
      </c>
      <c r="G25" s="27" t="s">
        <v>429</v>
      </c>
    </row>
    <row r="26" spans="1:7">
      <c r="A26" s="27" t="s">
        <v>430</v>
      </c>
      <c r="B26" s="27" t="s">
        <v>431</v>
      </c>
      <c r="C26" s="27" t="s">
        <v>432</v>
      </c>
      <c r="D26" s="28"/>
      <c r="E26" s="27" t="s">
        <v>433</v>
      </c>
      <c r="F26" s="27" t="s">
        <v>293</v>
      </c>
      <c r="G26" s="27" t="s">
        <v>434</v>
      </c>
    </row>
    <row r="27" spans="1:7">
      <c r="A27" s="27" t="s">
        <v>401</v>
      </c>
      <c r="B27" s="27" t="s">
        <v>435</v>
      </c>
      <c r="C27" s="27" t="s">
        <v>436</v>
      </c>
      <c r="D27" s="28"/>
      <c r="E27" s="27" t="s">
        <v>171</v>
      </c>
      <c r="F27" s="27" t="s">
        <v>122</v>
      </c>
      <c r="G27" s="27" t="s">
        <v>437</v>
      </c>
    </row>
    <row r="28" spans="1:7">
      <c r="A28" s="27" t="s">
        <v>438</v>
      </c>
      <c r="B28" s="27" t="s">
        <v>439</v>
      </c>
      <c r="C28" s="27" t="s">
        <v>440</v>
      </c>
      <c r="D28" s="28"/>
      <c r="E28" s="27" t="s">
        <v>441</v>
      </c>
      <c r="F28" s="27" t="s">
        <v>442</v>
      </c>
      <c r="G28" s="27" t="s">
        <v>443</v>
      </c>
    </row>
    <row r="29" spans="1:7">
      <c r="A29" s="27" t="s">
        <v>444</v>
      </c>
      <c r="B29" s="27" t="s">
        <v>445</v>
      </c>
      <c r="C29" s="27" t="s">
        <v>446</v>
      </c>
      <c r="D29" s="28"/>
      <c r="E29" s="27" t="s">
        <v>447</v>
      </c>
      <c r="F29" s="27" t="s">
        <v>308</v>
      </c>
      <c r="G29" s="27" t="s">
        <v>448</v>
      </c>
    </row>
    <row r="30" spans="1:7">
      <c r="A30" s="27" t="s">
        <v>449</v>
      </c>
      <c r="B30" s="27" t="s">
        <v>450</v>
      </c>
      <c r="C30" s="27" t="s">
        <v>451</v>
      </c>
      <c r="D30" s="28"/>
      <c r="E30" s="27" t="s">
        <v>452</v>
      </c>
      <c r="F30" s="27" t="s">
        <v>453</v>
      </c>
      <c r="G30" s="27" t="s">
        <v>454</v>
      </c>
    </row>
    <row r="31" spans="1:7">
      <c r="A31" s="27" t="s">
        <v>455</v>
      </c>
      <c r="B31" s="27" t="s">
        <v>456</v>
      </c>
      <c r="C31" s="27" t="s">
        <v>457</v>
      </c>
      <c r="D31" s="28"/>
      <c r="E31" s="27" t="s">
        <v>341</v>
      </c>
      <c r="F31" s="27" t="s">
        <v>458</v>
      </c>
      <c r="G31" s="27" t="s">
        <v>459</v>
      </c>
    </row>
    <row r="32" spans="1:7">
      <c r="A32" s="27" t="s">
        <v>460</v>
      </c>
      <c r="B32" s="27" t="s">
        <v>401</v>
      </c>
      <c r="C32" s="27" t="s">
        <v>461</v>
      </c>
      <c r="D32" s="28"/>
      <c r="E32" s="27" t="s">
        <v>462</v>
      </c>
      <c r="F32" s="27" t="s">
        <v>463</v>
      </c>
      <c r="G32" s="27" t="s">
        <v>464</v>
      </c>
    </row>
    <row r="33" spans="1:7">
      <c r="A33" s="27" t="s">
        <v>465</v>
      </c>
      <c r="B33" s="27" t="s">
        <v>466</v>
      </c>
      <c r="C33" s="27" t="s">
        <v>467</v>
      </c>
      <c r="D33" s="28"/>
      <c r="E33" s="27" t="s">
        <v>318</v>
      </c>
      <c r="F33" s="27" t="s">
        <v>468</v>
      </c>
      <c r="G33" s="27" t="s">
        <v>469</v>
      </c>
    </row>
    <row r="34" spans="1:7">
      <c r="A34" s="27" t="s">
        <v>470</v>
      </c>
      <c r="B34" s="27" t="s">
        <v>471</v>
      </c>
      <c r="C34" s="27" t="s">
        <v>472</v>
      </c>
      <c r="D34" s="28"/>
      <c r="E34" s="27" t="s">
        <v>120</v>
      </c>
      <c r="F34" s="27" t="s">
        <v>473</v>
      </c>
      <c r="G34" s="27" t="s">
        <v>474</v>
      </c>
    </row>
    <row r="35" spans="1:7">
      <c r="A35" s="27" t="s">
        <v>475</v>
      </c>
      <c r="B35" s="27" t="s">
        <v>476</v>
      </c>
      <c r="C35" s="27" t="s">
        <v>477</v>
      </c>
      <c r="D35" s="28"/>
      <c r="E35" s="27" t="s">
        <v>140</v>
      </c>
      <c r="F35" s="27" t="s">
        <v>478</v>
      </c>
      <c r="G35" s="27" t="s">
        <v>479</v>
      </c>
    </row>
    <row r="36" spans="1:7">
      <c r="A36" s="27" t="s">
        <v>480</v>
      </c>
      <c r="B36" s="27" t="s">
        <v>481</v>
      </c>
      <c r="C36" s="27" t="s">
        <v>482</v>
      </c>
      <c r="D36" s="28"/>
      <c r="E36" s="27" t="s">
        <v>483</v>
      </c>
      <c r="F36" s="27" t="s">
        <v>192</v>
      </c>
      <c r="G36" s="27" t="s">
        <v>484</v>
      </c>
    </row>
    <row r="37" spans="1:7">
      <c r="A37" s="27" t="s">
        <v>485</v>
      </c>
      <c r="B37" s="27" t="s">
        <v>486</v>
      </c>
      <c r="C37" s="27" t="s">
        <v>487</v>
      </c>
      <c r="D37" s="28"/>
      <c r="E37" s="27" t="s">
        <v>145</v>
      </c>
      <c r="F37" s="27" t="s">
        <v>488</v>
      </c>
      <c r="G37" s="27" t="s">
        <v>414</v>
      </c>
    </row>
    <row r="38" spans="1:7">
      <c r="A38" s="27" t="s">
        <v>489</v>
      </c>
      <c r="B38" s="27" t="s">
        <v>417</v>
      </c>
      <c r="C38" s="27" t="s">
        <v>490</v>
      </c>
      <c r="D38" s="28"/>
      <c r="E38" s="27" t="s">
        <v>491</v>
      </c>
      <c r="F38" s="27" t="s">
        <v>492</v>
      </c>
      <c r="G38" s="27" t="s">
        <v>493</v>
      </c>
    </row>
    <row r="39" spans="1:7">
      <c r="A39" s="27" t="s">
        <v>494</v>
      </c>
      <c r="B39" s="27" t="s">
        <v>428</v>
      </c>
      <c r="C39" s="27" t="s">
        <v>495</v>
      </c>
      <c r="D39" s="28"/>
      <c r="E39" s="27" t="s">
        <v>346</v>
      </c>
      <c r="F39" s="27" t="s">
        <v>496</v>
      </c>
      <c r="G39" s="27" t="s">
        <v>497</v>
      </c>
    </row>
    <row r="40" spans="1:7">
      <c r="A40" s="27" t="s">
        <v>428</v>
      </c>
      <c r="B40" s="27" t="s">
        <v>498</v>
      </c>
      <c r="C40" s="27" t="s">
        <v>499</v>
      </c>
      <c r="D40" s="28"/>
      <c r="E40" s="27" t="s">
        <v>500</v>
      </c>
      <c r="F40" s="27" t="s">
        <v>197</v>
      </c>
      <c r="G40" s="27" t="s">
        <v>501</v>
      </c>
    </row>
    <row r="41" spans="1:7">
      <c r="A41" s="27" t="s">
        <v>502</v>
      </c>
      <c r="B41" s="27" t="s">
        <v>503</v>
      </c>
      <c r="C41" s="27" t="s">
        <v>504</v>
      </c>
      <c r="D41" s="28"/>
      <c r="E41" s="27" t="s">
        <v>505</v>
      </c>
      <c r="F41" s="27" t="s">
        <v>506</v>
      </c>
      <c r="G41" s="27" t="s">
        <v>507</v>
      </c>
    </row>
    <row r="42" spans="1:7">
      <c r="A42" s="27" t="s">
        <v>508</v>
      </c>
      <c r="B42" s="27" t="s">
        <v>509</v>
      </c>
      <c r="C42" s="27" t="s">
        <v>510</v>
      </c>
      <c r="D42" s="28"/>
      <c r="E42" s="27" t="s">
        <v>511</v>
      </c>
      <c r="F42" s="27" t="s">
        <v>512</v>
      </c>
      <c r="G42" s="27" t="s">
        <v>513</v>
      </c>
    </row>
    <row r="43" spans="1:7">
      <c r="A43" s="27" t="s">
        <v>514</v>
      </c>
      <c r="B43" s="27" t="s">
        <v>515</v>
      </c>
      <c r="C43" s="27" t="s">
        <v>516</v>
      </c>
      <c r="D43" s="28"/>
      <c r="E43" s="27" t="s">
        <v>243</v>
      </c>
      <c r="F43" s="27" t="s">
        <v>513</v>
      </c>
      <c r="G43" s="27" t="s">
        <v>517</v>
      </c>
    </row>
    <row r="44" spans="1:7">
      <c r="A44" s="27" t="s">
        <v>518</v>
      </c>
      <c r="B44" s="27" t="s">
        <v>519</v>
      </c>
      <c r="C44" s="27" t="s">
        <v>520</v>
      </c>
      <c r="D44" s="28"/>
      <c r="E44" s="27" t="s">
        <v>521</v>
      </c>
      <c r="F44" s="27" t="s">
        <v>245</v>
      </c>
      <c r="G44" s="27" t="s">
        <v>522</v>
      </c>
    </row>
    <row r="45" spans="1:7">
      <c r="A45" s="27" t="s">
        <v>523</v>
      </c>
      <c r="B45" s="27" t="s">
        <v>524</v>
      </c>
      <c r="C45" s="27" t="s">
        <v>525</v>
      </c>
      <c r="D45" s="28"/>
      <c r="E45" s="27" t="s">
        <v>301</v>
      </c>
      <c r="F45" s="27" t="s">
        <v>526</v>
      </c>
      <c r="G45" s="27" t="s">
        <v>527</v>
      </c>
    </row>
    <row r="46" spans="1:7">
      <c r="A46" s="27" t="s">
        <v>528</v>
      </c>
      <c r="B46" s="27" t="s">
        <v>529</v>
      </c>
      <c r="C46" s="27" t="s">
        <v>530</v>
      </c>
      <c r="D46" s="28"/>
      <c r="E46" s="27" t="s">
        <v>342</v>
      </c>
      <c r="F46" s="27" t="s">
        <v>531</v>
      </c>
      <c r="G46" s="27" t="s">
        <v>532</v>
      </c>
    </row>
    <row r="47" spans="1:7">
      <c r="A47" s="27" t="s">
        <v>533</v>
      </c>
      <c r="B47" s="27" t="s">
        <v>534</v>
      </c>
      <c r="C47" s="27" t="s">
        <v>535</v>
      </c>
      <c r="D47" s="28"/>
      <c r="E47" s="27" t="s">
        <v>162</v>
      </c>
      <c r="F47" s="27" t="s">
        <v>536</v>
      </c>
      <c r="G47" s="27" t="s">
        <v>537</v>
      </c>
    </row>
    <row r="48" spans="1:7">
      <c r="A48" s="27" t="s">
        <v>538</v>
      </c>
      <c r="B48" s="27" t="s">
        <v>451</v>
      </c>
      <c r="C48" s="27" t="s">
        <v>539</v>
      </c>
      <c r="D48" s="28"/>
      <c r="E48" s="27" t="s">
        <v>540</v>
      </c>
      <c r="F48" s="27" t="s">
        <v>541</v>
      </c>
      <c r="G48" s="27" t="s">
        <v>542</v>
      </c>
    </row>
    <row r="49" spans="1:7">
      <c r="A49" s="27" t="s">
        <v>543</v>
      </c>
      <c r="B49" s="27" t="s">
        <v>544</v>
      </c>
      <c r="C49" s="27" t="s">
        <v>545</v>
      </c>
      <c r="D49" s="28"/>
      <c r="E49" s="27" t="s">
        <v>546</v>
      </c>
      <c r="F49" s="27" t="s">
        <v>547</v>
      </c>
      <c r="G49" s="27" t="s">
        <v>548</v>
      </c>
    </row>
    <row r="50" spans="1:7">
      <c r="A50" s="27" t="s">
        <v>549</v>
      </c>
      <c r="B50" s="27" t="s">
        <v>550</v>
      </c>
      <c r="C50" s="27" t="s">
        <v>551</v>
      </c>
      <c r="D50" s="28"/>
      <c r="E50" s="27" t="s">
        <v>552</v>
      </c>
      <c r="F50" s="27" t="s">
        <v>553</v>
      </c>
      <c r="G50" s="27" t="s">
        <v>554</v>
      </c>
    </row>
    <row r="51" spans="1:7">
      <c r="A51" s="23"/>
      <c r="B51" s="23"/>
      <c r="C51" s="23"/>
      <c r="D51" s="23"/>
      <c r="E51" s="23"/>
      <c r="F51" s="23"/>
      <c r="G51" s="23"/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Paid Ads Campaigns Blue Pearl</vt:lpstr>
      <vt:lpstr>Paid Ads Campaigns Delhi 6</vt:lpstr>
      <vt:lpstr>Paid Ads Campaigns for Leasing</vt:lpstr>
      <vt:lpstr>Social Media Marketing</vt:lpstr>
      <vt:lpstr>Creatives</vt:lpstr>
      <vt:lpstr>Site List For Paid Ads</vt:lpstr>
      <vt:lpstr>MobileApps &amp; Sites For Paid Ad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Sharma</dc:creator>
  <cp:lastModifiedBy>Aditya Sharma</cp:lastModifiedBy>
  <dcterms:created xsi:type="dcterms:W3CDTF">2022-09-30T09:27:21Z</dcterms:created>
  <dcterms:modified xsi:type="dcterms:W3CDTF">2023-01-07T11:37:51Z</dcterms:modified>
</cp:coreProperties>
</file>